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rasad_bidya_epa_gov/Documents/Profile/Documents/pbpk_template_code/"/>
    </mc:Choice>
  </mc:AlternateContent>
  <xr:revisionPtr revIDLastSave="153" documentId="8_{5E6DE155-92C3-4693-BE56-BEA7BDF58428}" xr6:coauthVersionLast="46" xr6:coauthVersionMax="46" xr10:uidLastSave="{D0E901AE-37E1-42E9-97CC-B451CDC7FFEB}"/>
  <bookViews>
    <workbookView xWindow="-110" yWindow="-110" windowWidth="19420" windowHeight="10420" xr2:uid="{FB81C2CB-C2C9-46C3-9515-9D8121915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Q24" i="1"/>
  <c r="Q21" i="1"/>
  <c r="O18" i="1"/>
  <c r="H32" i="1"/>
  <c r="O12" i="1"/>
  <c r="G30" i="1"/>
  <c r="H26" i="1"/>
  <c r="H25" i="1"/>
  <c r="H24" i="1"/>
  <c r="H23" i="1"/>
  <c r="H22" i="1"/>
  <c r="H21" i="1"/>
  <c r="H16" i="1"/>
  <c r="H15" i="1"/>
  <c r="H11" i="1"/>
</calcChain>
</file>

<file path=xl/sharedStrings.xml><?xml version="1.0" encoding="utf-8"?>
<sst xmlns="http://schemas.openxmlformats.org/spreadsheetml/2006/main" count="86" uniqueCount="72">
  <si>
    <t>Corley</t>
  </si>
  <si>
    <t>Revised</t>
  </si>
  <si>
    <t>BW</t>
  </si>
  <si>
    <t>Body weight in kg</t>
  </si>
  <si>
    <t>Cardiac output (L/min/BW^0.74)</t>
  </si>
  <si>
    <t xml:space="preserve">QCC </t>
  </si>
  <si>
    <t>QPC</t>
  </si>
  <si>
    <t>Alveolar ventilation rate (L/min/BW^0.74)</t>
  </si>
  <si>
    <t>Flows (fraction of cardiac output)</t>
  </si>
  <si>
    <t xml:space="preserve">QFC </t>
  </si>
  <si>
    <t>fat</t>
  </si>
  <si>
    <t xml:space="preserve">QLC </t>
  </si>
  <si>
    <t xml:space="preserve">QKCTXC </t>
  </si>
  <si>
    <t xml:space="preserve">QKMEDC </t>
  </si>
  <si>
    <t xml:space="preserve">QSC </t>
  </si>
  <si>
    <t>liver</t>
  </si>
  <si>
    <t>kidney cortex</t>
  </si>
  <si>
    <t>kidney medulla</t>
  </si>
  <si>
    <t>slowly perfused</t>
  </si>
  <si>
    <t>Tissue volumes (fraction of BW)</t>
  </si>
  <si>
    <t xml:space="preserve">VFC </t>
  </si>
  <si>
    <t xml:space="preserve">VLC </t>
  </si>
  <si>
    <t xml:space="preserve">VKCTXC </t>
  </si>
  <si>
    <t xml:space="preserve">VKMEDC </t>
  </si>
  <si>
    <t xml:space="preserve">VRC </t>
  </si>
  <si>
    <t>rapid</t>
  </si>
  <si>
    <t>Blood:Air partition coefficient</t>
  </si>
  <si>
    <t>PB</t>
  </si>
  <si>
    <t>Tissue:Air partition coefficients</t>
  </si>
  <si>
    <t xml:space="preserve">PFA </t>
  </si>
  <si>
    <t xml:space="preserve">PLA </t>
  </si>
  <si>
    <t xml:space="preserve">PKCTXA </t>
  </si>
  <si>
    <t xml:space="preserve">PKMEDA </t>
  </si>
  <si>
    <t xml:space="preserve">PSA </t>
  </si>
  <si>
    <t xml:space="preserve">PRA </t>
  </si>
  <si>
    <t>Fat:Air</t>
  </si>
  <si>
    <t>Liver:Air</t>
  </si>
  <si>
    <t>Cortex:Air</t>
  </si>
  <si>
    <t>Medula:Air</t>
  </si>
  <si>
    <t>Slow:Air</t>
  </si>
  <si>
    <t>Rapid:Air</t>
  </si>
  <si>
    <t>Metabolism in liver and kidney cortex</t>
  </si>
  <si>
    <t xml:space="preserve">VMAXC </t>
  </si>
  <si>
    <t xml:space="preserve">KM </t>
  </si>
  <si>
    <t xml:space="preserve">VMRATIO </t>
  </si>
  <si>
    <t>0.052*(VKCTXC/VLC); % Cortex:Liver enzyme ratio</t>
  </si>
  <si>
    <t>Hepatic enzyme level mg/hr/BW^0.7</t>
  </si>
  <si>
    <t>mg/L</t>
  </si>
  <si>
    <t>% as VMRATIO = A*(VK/VL) where</t>
  </si>
  <si>
    <t>% A = relative activity, kidney/liver, VK and VL</t>
  </si>
  <si>
    <t>% are volumes of kidney and liver</t>
  </si>
  <si>
    <t xml:space="preserve">% For the Corley model parameters, this is calculated </t>
  </si>
  <si>
    <t xml:space="preserve">KLOSS </t>
  </si>
  <si>
    <t xml:space="preserve">KRESYN </t>
  </si>
  <si>
    <t>Enzyme resynthesis rate, /hr</t>
  </si>
  <si>
    <t>2nd order enzyme destruction rate, L/mg</t>
  </si>
  <si>
    <t>kid tot</t>
  </si>
  <si>
    <t>for revised: 0.24-QFC</t>
  </si>
  <si>
    <t>for revised: 0.09-(VKC+VLC)</t>
  </si>
  <si>
    <t>0.7*VKC</t>
  </si>
  <si>
    <t>0.3*VKC</t>
  </si>
  <si>
    <t>19.9*PB</t>
  </si>
  <si>
    <t>0.62*PB</t>
  </si>
  <si>
    <t>1.0*PB</t>
  </si>
  <si>
    <t>QRC = 1.0 - (QFC + QLC + QKCTXC + QKMEDC + QSC);</t>
  </si>
  <si>
    <t xml:space="preserve">QRC = </t>
  </si>
  <si>
    <t>VSC = 0.91 - (VFC + VLC + VKCTXC + VKMEDC + VRC)</t>
  </si>
  <si>
    <t xml:space="preserve">VSC = </t>
  </si>
  <si>
    <t>QRC = 1.0 - (QFC + QLC + QKCTXC + QKMEDC + QSC)</t>
  </si>
  <si>
    <t>air</t>
  </si>
  <si>
    <t>blood</t>
  </si>
  <si>
    <t>compartmt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</si>
</sst>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1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D1B3-903E-4EB6-A121-E6E233B1411D}">
  <dimension ref="D2:V35"/>
  <sheetViews>
    <sheetView tabSelected="1" topLeftCell="A18" workbookViewId="0">
      <selection activeCell="G32" sqref="G32"/>
    </sheetView>
  </sheetViews>
  <sheetFormatPr defaultRowHeight="14.5" x14ac:dyDescent="0.35"/>
  <sheetData>
    <row r="2" spans="4:15" x14ac:dyDescent="0.35">
      <c r="G2" t="s">
        <v>0</v>
      </c>
      <c r="H2" t="s">
        <v>1</v>
      </c>
    </row>
    <row r="3" spans="4:15" x14ac:dyDescent="0.35">
      <c r="F3" t="s">
        <v>2</v>
      </c>
      <c r="G3" s="2">
        <v>0.23</v>
      </c>
      <c r="H3" s="2">
        <v>0.25</v>
      </c>
      <c r="I3" t="s">
        <v>3</v>
      </c>
    </row>
    <row r="4" spans="4:15" x14ac:dyDescent="0.35">
      <c r="F4" t="s">
        <v>5</v>
      </c>
      <c r="G4" s="2">
        <v>15</v>
      </c>
      <c r="H4" s="2">
        <v>14</v>
      </c>
      <c r="I4" s="1" t="s">
        <v>4</v>
      </c>
    </row>
    <row r="5" spans="4:15" x14ac:dyDescent="0.35">
      <c r="F5" t="s">
        <v>6</v>
      </c>
      <c r="G5" s="2">
        <v>15</v>
      </c>
      <c r="H5" s="2">
        <v>14</v>
      </c>
      <c r="I5" t="s">
        <v>7</v>
      </c>
    </row>
    <row r="6" spans="4:15" x14ac:dyDescent="0.35">
      <c r="D6" t="s">
        <v>8</v>
      </c>
    </row>
    <row r="7" spans="4:15" x14ac:dyDescent="0.35">
      <c r="F7" t="s">
        <v>9</v>
      </c>
      <c r="G7" s="2">
        <v>0.05</v>
      </c>
      <c r="H7" s="2">
        <v>0.09</v>
      </c>
      <c r="I7" t="s">
        <v>10</v>
      </c>
    </row>
    <row r="8" spans="4:15" x14ac:dyDescent="0.35">
      <c r="F8" t="s">
        <v>11</v>
      </c>
      <c r="G8" s="2">
        <v>0.25</v>
      </c>
      <c r="H8" s="2">
        <v>0.25</v>
      </c>
      <c r="I8" t="s">
        <v>15</v>
      </c>
    </row>
    <row r="9" spans="4:15" x14ac:dyDescent="0.35">
      <c r="F9" t="s">
        <v>12</v>
      </c>
      <c r="G9" s="2">
        <v>0.25</v>
      </c>
      <c r="H9" s="2"/>
      <c r="I9" t="s">
        <v>16</v>
      </c>
      <c r="K9">
        <v>0.14099999999999999</v>
      </c>
      <c r="L9" t="s">
        <v>56</v>
      </c>
    </row>
    <row r="10" spans="4:15" x14ac:dyDescent="0.35">
      <c r="F10" t="s">
        <v>13</v>
      </c>
      <c r="G10" s="2">
        <v>0</v>
      </c>
      <c r="H10" s="2"/>
      <c r="I10" t="s">
        <v>17</v>
      </c>
      <c r="N10" t="s">
        <v>68</v>
      </c>
    </row>
    <row r="11" spans="4:15" x14ac:dyDescent="0.35">
      <c r="F11" t="s">
        <v>14</v>
      </c>
      <c r="G11" s="2">
        <v>0.19</v>
      </c>
      <c r="H11" s="2">
        <f>0.24-H7</f>
        <v>0.15</v>
      </c>
      <c r="I11" t="s">
        <v>18</v>
      </c>
      <c r="K11" t="s">
        <v>57</v>
      </c>
      <c r="N11" t="s">
        <v>64</v>
      </c>
    </row>
    <row r="12" spans="4:15" x14ac:dyDescent="0.35">
      <c r="D12" t="s">
        <v>19</v>
      </c>
      <c r="N12" s="2" t="s">
        <v>65</v>
      </c>
      <c r="O12" s="2">
        <f>1-(G7+G8+G9+G11)</f>
        <v>0.26</v>
      </c>
    </row>
    <row r="13" spans="4:15" x14ac:dyDescent="0.35">
      <c r="F13" t="s">
        <v>20</v>
      </c>
      <c r="G13" s="2">
        <v>7.0000000000000007E-2</v>
      </c>
      <c r="H13" s="2">
        <v>7.0000000000000007E-2</v>
      </c>
      <c r="I13" t="s">
        <v>10</v>
      </c>
    </row>
    <row r="14" spans="4:15" x14ac:dyDescent="0.35">
      <c r="F14" t="s">
        <v>21</v>
      </c>
      <c r="G14" s="2">
        <v>2.53E-2</v>
      </c>
      <c r="H14" s="2">
        <v>0.04</v>
      </c>
      <c r="I14" t="s">
        <v>15</v>
      </c>
    </row>
    <row r="15" spans="4:15" x14ac:dyDescent="0.35">
      <c r="F15" t="s">
        <v>22</v>
      </c>
      <c r="G15" s="2">
        <v>7.1000000000000004E-3</v>
      </c>
      <c r="H15" s="2">
        <f>K15*0.7</f>
        <v>5.11E-3</v>
      </c>
      <c r="I15" t="s">
        <v>16</v>
      </c>
      <c r="K15">
        <v>7.3000000000000001E-3</v>
      </c>
      <c r="L15" t="s">
        <v>56</v>
      </c>
      <c r="M15" t="s">
        <v>59</v>
      </c>
    </row>
    <row r="16" spans="4:15" x14ac:dyDescent="0.35">
      <c r="F16" t="s">
        <v>23</v>
      </c>
      <c r="G16" s="3">
        <v>1.0000000000000001E-5</v>
      </c>
      <c r="H16" s="2">
        <f>K15*0.3</f>
        <v>2.1900000000000001E-3</v>
      </c>
      <c r="I16" t="s">
        <v>17</v>
      </c>
      <c r="M16" t="s">
        <v>60</v>
      </c>
    </row>
    <row r="17" spans="4:17" x14ac:dyDescent="0.35">
      <c r="F17" t="s">
        <v>24</v>
      </c>
      <c r="G17" s="2">
        <v>4.3900000000000002E-2</v>
      </c>
      <c r="I17" t="s">
        <v>25</v>
      </c>
      <c r="K17" t="s">
        <v>58</v>
      </c>
      <c r="N17" t="s">
        <v>66</v>
      </c>
    </row>
    <row r="18" spans="4:17" x14ac:dyDescent="0.35">
      <c r="D18" t="s">
        <v>26</v>
      </c>
      <c r="N18" s="2" t="s">
        <v>67</v>
      </c>
      <c r="O18" s="4">
        <f>0.91-(G13+G14+G15+G16+G17)</f>
        <v>0.76368999999999998</v>
      </c>
    </row>
    <row r="19" spans="4:17" x14ac:dyDescent="0.35">
      <c r="F19" t="s">
        <v>27</v>
      </c>
      <c r="G19">
        <v>20.8</v>
      </c>
      <c r="H19">
        <v>17.7</v>
      </c>
    </row>
    <row r="20" spans="4:17" x14ac:dyDescent="0.35">
      <c r="D20" t="s">
        <v>28</v>
      </c>
    </row>
    <row r="21" spans="4:17" x14ac:dyDescent="0.35">
      <c r="F21" t="s">
        <v>29</v>
      </c>
      <c r="G21" s="2">
        <v>203</v>
      </c>
      <c r="H21" s="2">
        <f>19.9*H19</f>
        <v>352.22999999999996</v>
      </c>
      <c r="I21" t="s">
        <v>35</v>
      </c>
      <c r="K21" t="s">
        <v>61</v>
      </c>
      <c r="M21">
        <v>352</v>
      </c>
      <c r="N21" t="s">
        <v>10</v>
      </c>
      <c r="O21">
        <v>1</v>
      </c>
      <c r="P21" t="s">
        <v>69</v>
      </c>
      <c r="Q21">
        <f>M21/O22</f>
        <v>19.887005649717516</v>
      </c>
    </row>
    <row r="22" spans="4:17" x14ac:dyDescent="0.35">
      <c r="F22" t="s">
        <v>30</v>
      </c>
      <c r="G22" s="2">
        <v>21.1</v>
      </c>
      <c r="H22" s="2">
        <f>H19</f>
        <v>17.7</v>
      </c>
      <c r="I22" t="s">
        <v>36</v>
      </c>
      <c r="K22" t="s">
        <v>63</v>
      </c>
      <c r="N22" t="s">
        <v>69</v>
      </c>
      <c r="O22">
        <v>17.7</v>
      </c>
      <c r="P22" t="s">
        <v>70</v>
      </c>
    </row>
    <row r="23" spans="4:17" x14ac:dyDescent="0.35">
      <c r="F23" t="s">
        <v>31</v>
      </c>
      <c r="G23" s="2">
        <v>11</v>
      </c>
      <c r="H23" s="2">
        <f>0.62*H19</f>
        <v>10.974</v>
      </c>
      <c r="I23" t="s">
        <v>37</v>
      </c>
      <c r="K23" t="s">
        <v>62</v>
      </c>
    </row>
    <row r="24" spans="4:17" x14ac:dyDescent="0.35">
      <c r="F24" t="s">
        <v>32</v>
      </c>
      <c r="G24" s="2">
        <v>11</v>
      </c>
      <c r="H24" s="2">
        <f>0.62*H19</f>
        <v>10.974</v>
      </c>
      <c r="I24" t="s">
        <v>38</v>
      </c>
      <c r="K24" t="s">
        <v>62</v>
      </c>
      <c r="M24">
        <v>11</v>
      </c>
      <c r="N24" t="s">
        <v>71</v>
      </c>
      <c r="O24">
        <v>1</v>
      </c>
      <c r="P24" t="s">
        <v>69</v>
      </c>
      <c r="Q24">
        <f>M24/O25</f>
        <v>0.52884615384615385</v>
      </c>
    </row>
    <row r="25" spans="4:17" x14ac:dyDescent="0.35">
      <c r="F25" t="s">
        <v>33</v>
      </c>
      <c r="G25" s="2">
        <v>13.9</v>
      </c>
      <c r="H25" s="2">
        <f>H19</f>
        <v>17.7</v>
      </c>
      <c r="I25" t="s">
        <v>39</v>
      </c>
      <c r="K25" t="s">
        <v>63</v>
      </c>
      <c r="N25" t="s">
        <v>69</v>
      </c>
      <c r="O25">
        <v>20.8</v>
      </c>
      <c r="P25" t="s">
        <v>70</v>
      </c>
    </row>
    <row r="26" spans="4:17" x14ac:dyDescent="0.35">
      <c r="F26" t="s">
        <v>34</v>
      </c>
      <c r="G26" s="2">
        <v>21.1</v>
      </c>
      <c r="H26" s="2">
        <f>H19</f>
        <v>17.7</v>
      </c>
      <c r="I26" t="s">
        <v>40</v>
      </c>
      <c r="K26" t="s">
        <v>63</v>
      </c>
    </row>
    <row r="27" spans="4:17" x14ac:dyDescent="0.35">
      <c r="D27" t="s">
        <v>41</v>
      </c>
    </row>
    <row r="28" spans="4:17" x14ac:dyDescent="0.35">
      <c r="F28" t="s">
        <v>42</v>
      </c>
      <c r="G28" s="2">
        <v>6.7670000000000003</v>
      </c>
      <c r="H28" s="2">
        <v>5.218</v>
      </c>
      <c r="I28" t="s">
        <v>46</v>
      </c>
    </row>
    <row r="29" spans="4:17" x14ac:dyDescent="0.35">
      <c r="F29" t="s">
        <v>43</v>
      </c>
      <c r="G29" s="2">
        <v>0.54300000000000004</v>
      </c>
      <c r="H29" s="2">
        <v>0.12</v>
      </c>
      <c r="I29" t="s">
        <v>47</v>
      </c>
    </row>
    <row r="30" spans="4:17" x14ac:dyDescent="0.35">
      <c r="F30" t="s">
        <v>44</v>
      </c>
      <c r="G30" s="2">
        <f>0.052*(G15/G14)</f>
        <v>1.4592885375494073E-2</v>
      </c>
      <c r="H30" s="2">
        <v>8.0000000000000002E-3</v>
      </c>
      <c r="K30" t="s">
        <v>45</v>
      </c>
      <c r="P30" s="1" t="s">
        <v>51</v>
      </c>
    </row>
    <row r="31" spans="4:17" x14ac:dyDescent="0.35">
      <c r="P31" s="1" t="s">
        <v>48</v>
      </c>
    </row>
    <row r="32" spans="4:17" x14ac:dyDescent="0.35">
      <c r="G32">
        <f>G28*G30</f>
        <v>9.8750055335968395E-2</v>
      </c>
      <c r="H32">
        <f>H28*H30</f>
        <v>4.1744000000000003E-2</v>
      </c>
      <c r="P32" s="1" t="s">
        <v>49</v>
      </c>
    </row>
    <row r="33" spans="6:22" x14ac:dyDescent="0.35">
      <c r="P33" s="1" t="s">
        <v>50</v>
      </c>
      <c r="V33" s="1" t="s">
        <v>50</v>
      </c>
    </row>
    <row r="34" spans="6:22" x14ac:dyDescent="0.35">
      <c r="F34" t="s">
        <v>52</v>
      </c>
      <c r="G34">
        <v>0</v>
      </c>
      <c r="H34">
        <v>0</v>
      </c>
      <c r="I34" t="s">
        <v>55</v>
      </c>
    </row>
    <row r="35" spans="6:22" x14ac:dyDescent="0.35">
      <c r="F35" t="s">
        <v>53</v>
      </c>
      <c r="G35">
        <v>0</v>
      </c>
      <c r="H35">
        <v>0</v>
      </c>
      <c r="I35" s="1" t="s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2025-11-18T18:12:59+00:00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8CDF47C2-CAC1-423D-9CCF-26A6B71875B7}"/>
</file>

<file path=customXml/itemProps2.xml><?xml version="1.0" encoding="utf-8"?>
<ds:datastoreItem xmlns:ds="http://schemas.openxmlformats.org/officeDocument/2006/customXml" ds:itemID="{2F019BB5-C611-4943-8AFC-8EC997DABC6F}"/>
</file>

<file path=customXml/itemProps3.xml><?xml version="1.0" encoding="utf-8"?>
<ds:datastoreItem xmlns:ds="http://schemas.openxmlformats.org/officeDocument/2006/customXml" ds:itemID="{AAF05FC7-86B5-4998-8A7A-2B863112D6D2}"/>
</file>

<file path=customXml/itemProps4.xml><?xml version="1.0" encoding="utf-8"?>
<ds:datastoreItem xmlns:ds="http://schemas.openxmlformats.org/officeDocument/2006/customXml" ds:itemID="{E9396590-F4C0-4014-9AFB-7D4542F21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Bidya</dc:creator>
  <cp:lastModifiedBy>Prasad, Bidya</cp:lastModifiedBy>
  <dcterms:created xsi:type="dcterms:W3CDTF">2021-11-16T17:00:38Z</dcterms:created>
  <dcterms:modified xsi:type="dcterms:W3CDTF">2021-11-17T19:11:26Z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