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schlosser_paul_epa_gov/Documents/mcsim-5.6.5/PBPK_Model_Template_Mod/Inputs/"/>
    </mc:Choice>
  </mc:AlternateContent>
  <xr:revisionPtr revIDLastSave="257" documentId="8_{7F8D94C6-EC2B-4A79-A22A-AD1B7807B962}" xr6:coauthVersionLast="47" xr6:coauthVersionMax="47" xr10:uidLastSave="{9BAEC706-8C59-4BC2-9C2F-BEF881BFFAC2}"/>
  <bookViews>
    <workbookView xWindow="-23040" yWindow="45" windowWidth="25410" windowHeight="14640" xr2:uid="{089E7848-11EB-427A-89EA-83825F220BA0}"/>
  </bookViews>
  <sheets>
    <sheet name="Human4yo" sheetId="9" r:id="rId1"/>
    <sheet name="Human8yo" sheetId="10" r:id="rId2"/>
  </sheets>
  <definedNames>
    <definedName name="age" localSheetId="0">Human4yo!$F$26</definedName>
    <definedName name="BH" localSheetId="0">Human4yo!$H$25</definedName>
    <definedName name="BW" localSheetId="0">Human4yo!$F$25</definedName>
    <definedName name="BW" localSheetId="1">Human8yo!$F$25</definedName>
    <definedName name="CLp" localSheetId="0">Human4yo!$F$27</definedName>
    <definedName name="PC">Human4yo!$I$21</definedName>
    <definedName name="Qct" localSheetId="0">Human4yo!$G$77</definedName>
    <definedName name="surface" localSheetId="0">Human4yo!$H$26</definedName>
    <definedName name="Vtf" localSheetId="0">Human4yo!$G$76</definedName>
    <definedName name="Vtf">Human4yo!$I$12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97" i="9" l="1"/>
  <c r="E96" i="9"/>
  <c r="E90" i="9"/>
  <c r="E91" i="9"/>
  <c r="E89" i="9"/>
  <c r="K79" i="9"/>
  <c r="L79" i="9" s="1"/>
  <c r="H26" i="9"/>
  <c r="K78" i="9"/>
  <c r="L78" i="9" s="1"/>
  <c r="K77" i="9"/>
  <c r="G77" i="9"/>
  <c r="G79" i="9" s="1"/>
  <c r="G75" i="9"/>
  <c r="G67" i="9"/>
  <c r="G78" i="9" s="1"/>
  <c r="E78" i="9" s="1" a="1"/>
  <c r="E78" i="9" s="1"/>
  <c r="E68" i="9"/>
  <c r="F30" i="9"/>
  <c r="F29" i="9"/>
  <c r="F27" i="9"/>
  <c r="F28" i="9" s="1"/>
  <c r="F30" i="10"/>
  <c r="F29" i="10"/>
  <c r="F27" i="10"/>
  <c r="F46" i="10" s="1"/>
  <c r="E86" i="10"/>
  <c r="E24" i="10"/>
  <c r="E16" i="10"/>
  <c r="E15" i="10"/>
  <c r="E24" i="9"/>
  <c r="G85" i="9" l="1"/>
  <c r="K80" i="9"/>
  <c r="L77" i="9"/>
  <c r="L80" i="9" s="1"/>
  <c r="F36" i="9"/>
  <c r="E36" i="9" s="1"/>
  <c r="F46" i="9"/>
  <c r="E70" i="9"/>
  <c r="G70" i="9" s="1"/>
  <c r="G68" i="9"/>
  <c r="F28" i="10"/>
  <c r="E36" i="10" s="1"/>
  <c r="F37" i="10" s="1"/>
  <c r="E76" i="9" l="1"/>
  <c r="E16" i="9" l="1"/>
  <c r="G76" i="9"/>
  <c r="K81" i="9" s="1"/>
  <c r="L81" i="9" s="1"/>
  <c r="G86" i="9" s="1"/>
  <c r="E86" i="9" s="1"/>
  <c r="E80" i="9" l="1"/>
  <c r="E15" i="9" l="1"/>
  <c r="G80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<sst xmlns="http://schemas.openxmlformats.org/spreadsheetml/2006/main" count="730" uniqueCount="289">
  <si>
    <t>Code</t>
  </si>
  <si>
    <t>Model Information</t>
  </si>
  <si>
    <t>Possible Answers</t>
  </si>
  <si>
    <t>Value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</si>
  <si>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</si>
  <si>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</si>
  <si>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</si>
  <si>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</si>
  <si>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</si>
  <si>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</si>
  <si>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</si>
  <si>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</si>
  <si>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</si>
  <si>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</si>
  <si>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</si>
  <si>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</si>
  <si>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</si>
  <si>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</si>
  <si>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</si>
  <si>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Y or N</t>
  </si>
  <si>
    <t>Free_constant</t>
  </si>
  <si>
    <t>Free fraction is constant?</t>
  </si>
  <si>
    <t>N</t>
  </si>
  <si>
    <t>One or two (venous and arterial) blood compartments?</t>
  </si>
  <si>
    <t>1 or 2</t>
  </si>
  <si>
    <t>Model Parameter</t>
  </si>
  <si>
    <t>Units</t>
  </si>
  <si>
    <t>AS_co</t>
  </si>
  <si>
    <t>Allometric Scaling Exponent: Cardiac Output</t>
  </si>
  <si>
    <t>AS_met</t>
  </si>
  <si>
    <t>Allometric Scaling Exponent: Maximum Rate of Saturable Metabolism</t>
  </si>
  <si>
    <t>AS_cl</t>
  </si>
  <si>
    <t>Q_cardiacc</t>
  </si>
  <si>
    <t>Cardiac Output</t>
  </si>
  <si>
    <t>hcrit</t>
  </si>
  <si>
    <t>Hematocrit</t>
  </si>
  <si>
    <t>1/time</t>
  </si>
  <si>
    <t>VPR</t>
  </si>
  <si>
    <t>Inhalation: Ventilation Perfusion Ratio</t>
  </si>
  <si>
    <t>P_B</t>
  </si>
  <si>
    <t>Inhalation: Blood to air partition coefficient</t>
  </si>
  <si>
    <t>F_free</t>
  </si>
  <si>
    <t>F_unabs</t>
  </si>
  <si>
    <t>Fraction Unabsorbed</t>
  </si>
  <si>
    <t>Transport Maximum</t>
  </si>
  <si>
    <t>Transport Affinity Constant</t>
  </si>
  <si>
    <t>mass/volume</t>
  </si>
  <si>
    <t>k_bilec</t>
  </si>
  <si>
    <t>Biliary Excretion Rate</t>
  </si>
  <si>
    <t>Rate Constant to Urine</t>
  </si>
  <si>
    <t>Rate Constant to Feces from Fecal Storage</t>
  </si>
  <si>
    <t>k_absgi</t>
  </si>
  <si>
    <t>k_absli</t>
  </si>
  <si>
    <t>k_absli2</t>
  </si>
  <si>
    <t>k_unabs</t>
  </si>
  <si>
    <t>Rate Unabsorbed fraction of Dose goes to Fecal Storage</t>
  </si>
  <si>
    <t>k_ustc</t>
  </si>
  <si>
    <t>affinity constant for liver binding (saturable)</t>
  </si>
  <si>
    <t>maximum binding capacity (liver, saturable)</t>
  </si>
  <si>
    <t>mass/time</t>
  </si>
  <si>
    <t>dissociation rate constant (liver)</t>
  </si>
  <si>
    <t>Metabolism: Liver: Saturable: Maximum Rate Constant</t>
  </si>
  <si>
    <t>Metabolism: Liver: Saturable: Affinity Constant</t>
  </si>
  <si>
    <t>Metabolism: Liver: 1st order rate constant</t>
  </si>
  <si>
    <t>Metabolism: Other Metabolizing Tissues: Saturable: Maximum Rate</t>
  </si>
  <si>
    <t>Metabolism: Other Metabolizing Tissues: Saturable: Affinity Constant</t>
  </si>
  <si>
    <t>Metabolism: Lung: Saturable: Maximum Rate Constant</t>
  </si>
  <si>
    <t>Metabolism: Lung: Saturable: Affinity Constant</t>
  </si>
  <si>
    <t>Metabolism: Lung: 1st order rate constant</t>
  </si>
  <si>
    <t>MOLWT</t>
  </si>
  <si>
    <t>Molecular Weight of Chemical</t>
  </si>
  <si>
    <t>g/mol</t>
  </si>
  <si>
    <t>Plotting Information</t>
  </si>
  <si>
    <t>r.plots</t>
  </si>
  <si>
    <t>Make plots in R (Y or N)</t>
  </si>
  <si>
    <t>A.units</t>
  </si>
  <si>
    <t>Units of Data - Amounts</t>
  </si>
  <si>
    <t>C.units</t>
  </si>
  <si>
    <t>Units of Data - Concentrations</t>
  </si>
  <si>
    <t>V_blc</t>
  </si>
  <si>
    <t>blood plasma volume fraction</t>
  </si>
  <si>
    <t>lung volume fraction - inhalation</t>
  </si>
  <si>
    <t>V_luc</t>
  </si>
  <si>
    <t>liver volume fraction</t>
  </si>
  <si>
    <t>kidney volume fraction</t>
  </si>
  <si>
    <t>kidney filtrate volume fraction</t>
  </si>
  <si>
    <t xml:space="preserve">tissue compartment 3 volume fraction - </t>
  </si>
  <si>
    <t xml:space="preserve">tissue compartment 4 volume fraction - </t>
  </si>
  <si>
    <t xml:space="preserve">tissue compartment 5 volume fraction - </t>
  </si>
  <si>
    <t>V_gic</t>
  </si>
  <si>
    <t>V_lic</t>
  </si>
  <si>
    <t>V_kic</t>
  </si>
  <si>
    <t>V_filc</t>
  </si>
  <si>
    <t>V_tc1c</t>
  </si>
  <si>
    <t>V_tc2c</t>
  </si>
  <si>
    <t>V_tc3c</t>
  </si>
  <si>
    <t>V_tc4c</t>
  </si>
  <si>
    <t>V_tc5c</t>
  </si>
  <si>
    <t>V_omc</t>
  </si>
  <si>
    <t>liver blood flow rate fraction</t>
  </si>
  <si>
    <t>kidney blood flow rate fraction</t>
  </si>
  <si>
    <t xml:space="preserve">tissue compartment 3 blood flow rate fraction - </t>
  </si>
  <si>
    <t xml:space="preserve">tissue compartment 4 blood flow rate fraction - </t>
  </si>
  <si>
    <t xml:space="preserve">tissue compartment 5 blood flow rate fraction - </t>
  </si>
  <si>
    <t>Q_gic</t>
  </si>
  <si>
    <t>Q_lic</t>
  </si>
  <si>
    <t>Q_kic</t>
  </si>
  <si>
    <t>Q_tc1c</t>
  </si>
  <si>
    <t>Q_tc2c</t>
  </si>
  <si>
    <t>Q_tc3c</t>
  </si>
  <si>
    <t>Q_tc4c</t>
  </si>
  <si>
    <t>Q_tc5c</t>
  </si>
  <si>
    <t>Q_omc</t>
  </si>
  <si>
    <t>lung:blood partition coefficient - inhalation</t>
  </si>
  <si>
    <t>liver:blood partition coefficient</t>
  </si>
  <si>
    <t>kidney:blood partition coefficient</t>
  </si>
  <si>
    <t xml:space="preserve">tissue compartment 3:blood partition coefficient - </t>
  </si>
  <si>
    <t xml:space="preserve">tissue compartment 4:blood partition coefficient - </t>
  </si>
  <si>
    <t xml:space="preserve">tissue compartment 5:blood partition coefficient - </t>
  </si>
  <si>
    <t>Notes</t>
  </si>
  <si>
    <t>Compartment Parameter</t>
  </si>
  <si>
    <t>P_lu</t>
  </si>
  <si>
    <t>P_gi</t>
  </si>
  <si>
    <t>P_li</t>
  </si>
  <si>
    <t>P_ki</t>
  </si>
  <si>
    <t>P_tc1</t>
  </si>
  <si>
    <t>P_tc2</t>
  </si>
  <si>
    <t>P_tc3</t>
  </si>
  <si>
    <t>P_tc4</t>
  </si>
  <si>
    <t>P_tc5</t>
  </si>
  <si>
    <t>P_om</t>
  </si>
  <si>
    <t xml:space="preserve">other metabolizing tissues:blood partition coefficient - </t>
  </si>
  <si>
    <t>venous_ss</t>
  </si>
  <si>
    <t>arterial_ss</t>
  </si>
  <si>
    <t>V_venc</t>
  </si>
  <si>
    <t>venous blood volume fraction</t>
  </si>
  <si>
    <t>V_artc</t>
  </si>
  <si>
    <t>arterial blood volume fraction</t>
  </si>
  <si>
    <t>V_max_reabsc</t>
  </si>
  <si>
    <t>K_m_reabs</t>
  </si>
  <si>
    <t>k_urinec</t>
  </si>
  <si>
    <t>k_fst</t>
  </si>
  <si>
    <t>k_fecesc</t>
  </si>
  <si>
    <t>V_max_lic</t>
  </si>
  <si>
    <t>K_m_li</t>
  </si>
  <si>
    <t>k_met_lic</t>
  </si>
  <si>
    <t>V_max_omc</t>
  </si>
  <si>
    <t>K_m_om</t>
  </si>
  <si>
    <t>V_max_luc</t>
  </si>
  <si>
    <t>K_m_lu</t>
  </si>
  <si>
    <t>k_met_luc</t>
  </si>
  <si>
    <t>V_rbc</t>
  </si>
  <si>
    <t xml:space="preserve">tissue compartment 2 volume fraction - </t>
  </si>
  <si>
    <t>Q_rbc</t>
  </si>
  <si>
    <t>rest of body blood flow rate fraction</t>
  </si>
  <si>
    <t xml:space="preserve">tissue compartment 2 blood flow rate fraction - </t>
  </si>
  <si>
    <t>P_rb</t>
  </si>
  <si>
    <t>rest of body:blood partition coefficient</t>
  </si>
  <si>
    <t xml:space="preserve">tissue compartment 2:blood partition coefficient - </t>
  </si>
  <si>
    <t>Include cardiac depression term (based on concentration in rest of body compartment)</t>
  </si>
  <si>
    <t>KIV</t>
  </si>
  <si>
    <t>NV</t>
  </si>
  <si>
    <t>Cardiac Depression: Inhibition Constant</t>
  </si>
  <si>
    <t>Cardiac Depression: Hill Coefficient</t>
  </si>
  <si>
    <t>CDSW</t>
  </si>
  <si>
    <t>k_ven_ustc</t>
  </si>
  <si>
    <t>Rate Constant to Urinary Storage from Venous Blood</t>
  </si>
  <si>
    <t>Rate Constant to Urinary Storage from Kidney Filtrate</t>
  </si>
  <si>
    <t>F_inh</t>
  </si>
  <si>
    <t>Inhalation: Fraction Absorbed</t>
  </si>
  <si>
    <t>Use the units specified here for the parameters below unless otherwise specified.</t>
  </si>
  <si>
    <t>The model is automatically converted to, run, and output in units of mg, L, h.</t>
  </si>
  <si>
    <t xml:space="preserve">tissue compartment 1:blood partition coefficient - </t>
  </si>
  <si>
    <t xml:space="preserve">tissue compartment 1 blood flow rate fraction - </t>
  </si>
  <si>
    <t>GE_ss</t>
  </si>
  <si>
    <t>Model gas exchange using steady state approximation?</t>
  </si>
  <si>
    <t>Model venous blood using steady state approximation?</t>
  </si>
  <si>
    <t>Model arterial blood using steady state approximation?</t>
  </si>
  <si>
    <t>exist_lung</t>
  </si>
  <si>
    <t>Include an explicit lung compartment (as part of inhalation model)?</t>
  </si>
  <si>
    <t>Default Value</t>
  </si>
  <si>
    <t>Columns F and further right can be used for notes and will not be used by the model simulation code.</t>
  </si>
  <si>
    <t>Y</t>
  </si>
  <si>
    <t>Kidney filtrate flow rate fraction</t>
  </si>
  <si>
    <t>k_GFRc</t>
  </si>
  <si>
    <t>fraction of cardiac output</t>
  </si>
  <si>
    <t>fraction of total body volume</t>
  </si>
  <si>
    <t>Not Currently Used</t>
  </si>
  <si>
    <t>volume/time/BW^AS_co</t>
  </si>
  <si>
    <t>mass/time/BW^AS_met</t>
  </si>
  <si>
    <t>1/time/BW^AS_cl</t>
  </si>
  <si>
    <t>mg/L</t>
  </si>
  <si>
    <t>Q_bal</t>
  </si>
  <si>
    <t>Blood Flow Fraction Balance Check</t>
  </si>
  <si>
    <t>Should be Zero</t>
  </si>
  <si>
    <t>V_bal</t>
  </si>
  <si>
    <t>Volume Fraction Check</t>
  </si>
  <si>
    <t>Should be between 0.8 and 1.2</t>
  </si>
  <si>
    <t>k_enz_resyn</t>
  </si>
  <si>
    <t>Enzyme resynthesis rate</t>
  </si>
  <si>
    <t>k_enz_loss</t>
  </si>
  <si>
    <t xml:space="preserve">Second order rate constant for enzyme destruction </t>
  </si>
  <si>
    <t>volume/mass</t>
  </si>
  <si>
    <t>k_met_omc</t>
  </si>
  <si>
    <t>Metabolism: Other Metabolizing Tissues: 1st order rate constant</t>
  </si>
  <si>
    <t>Oral Absorption Rate from GI lumen to GI tissue</t>
  </si>
  <si>
    <t>Oral Absorption Rate from GI lumen to liver</t>
  </si>
  <si>
    <t>Oral Absorption Rate from GI tissue to liver</t>
  </si>
  <si>
    <t>Rate Constant to Feces from GI tissue</t>
  </si>
  <si>
    <t>GI tissue volume fraction</t>
  </si>
  <si>
    <t>GI tissue blood flow rate fraction</t>
  </si>
  <si>
    <t>GI tissue:blood partition coefficient</t>
  </si>
  <si>
    <t>total blood</t>
  </si>
  <si>
    <t>venous blood</t>
  </si>
  <si>
    <t>arterial blood</t>
  </si>
  <si>
    <t>lung</t>
  </si>
  <si>
    <t>gi tissue</t>
  </si>
  <si>
    <t>liver</t>
  </si>
  <si>
    <t>kidney</t>
  </si>
  <si>
    <t>kidney filtrate</t>
  </si>
  <si>
    <t>tissue 2</t>
  </si>
  <si>
    <t>tissue 3</t>
  </si>
  <si>
    <t>tissue 4</t>
  </si>
  <si>
    <t>tissue 5</t>
  </si>
  <si>
    <t>other metabolizing tissue</t>
  </si>
  <si>
    <t>rest of body</t>
  </si>
  <si>
    <t>AS_cl_met</t>
  </si>
  <si>
    <t>Allometric Scaling Exponent: First Order Metabolic Parameters</t>
  </si>
  <si>
    <t>Allometric Scaling Exponent: Other First Order Clearance Parameters</t>
  </si>
  <si>
    <t>This should be (AS_met - 1), if representing V_max/K_m/V_tissue.</t>
  </si>
  <si>
    <t>Set point value for when using dynamic enzyme production rates</t>
  </si>
  <si>
    <t>k_loss</t>
  </si>
  <si>
    <t>Direct blood loss rate constant</t>
  </si>
  <si>
    <t>For two blood compartment models, loss comes from venous blood and only available when not using the steady state assumption.</t>
  </si>
  <si>
    <t>volume/time</t>
  </si>
  <si>
    <t>If using a single blood compartment, rate from total blood to urinary storage. If using two blood compartments, rate from venous blood and only if not using the steady state assumption.</t>
  </si>
  <si>
    <t>V_max_bind_li</t>
  </si>
  <si>
    <t>K_m_bind_li</t>
  </si>
  <si>
    <t>k_off_li</t>
  </si>
  <si>
    <t>Can also use GI tissue with no blood flow rate to represent a second GI compartment</t>
  </si>
  <si>
    <t>If setting GE_ss to "N", then exist_lung must be set to "Y", otherwise air cannot interact with the body. (If exist_lung is "Y", then GE_ss can be "Y" or "N".)</t>
  </si>
  <si>
    <t>If not constant, provide table of values and corresponding times as input to PBPK_run()</t>
  </si>
  <si>
    <t>Free Fraction of chemical in plasma (initial value)</t>
  </si>
  <si>
    <t>Model Parameters (not included in .model file)</t>
  </si>
  <si>
    <t>1/time/BW^AS_cl_met</t>
  </si>
  <si>
    <t>num.blood.comp</t>
  </si>
  <si>
    <t>F ion</t>
  </si>
  <si>
    <t>mg</t>
  </si>
  <si>
    <t>L</t>
  </si>
  <si>
    <t>h</t>
  </si>
  <si>
    <t>age (years)</t>
  </si>
  <si>
    <t>Fraction urinary clearance</t>
  </si>
  <si>
    <t>Fraction bone clearance</t>
  </si>
  <si>
    <t>other metabolizing tissues volume fraction - bone!</t>
  </si>
  <si>
    <t>rest of body volume fraction ("sowly perfused")</t>
  </si>
  <si>
    <t>tissue compartment 1 volume fraction ("rapidy perfused")</t>
  </si>
  <si>
    <t>Calculated, 1 - others</t>
  </si>
  <si>
    <t>other metabolizing tissues blood flow rate fraction - bone</t>
  </si>
  <si>
    <t>Rao et al. p. 32, '360 L/d/BW^0.74', citing Andersen et al. (1987)</t>
  </si>
  <si>
    <t>rapidly perfused</t>
  </si>
  <si>
    <t>bone</t>
  </si>
  <si>
    <t>Jean et al. used 0.05 for children, 0.03 for adults</t>
  </si>
  <si>
    <t>ug</t>
  </si>
  <si>
    <t>BW (kg)</t>
  </si>
  <si>
    <t>(kg^0.25/h), " scaled to BW^0.75</t>
  </si>
  <si>
    <t>&lt;= renal CL (L/h)</t>
  </si>
  <si>
    <t>&lt;=bone CL (L/h)</t>
  </si>
  <si>
    <t>Total plasma CL (L/h ~ kg/h; Jean 2016)</t>
  </si>
  <si>
    <t>Tota urinary CL (L/h) V</t>
  </si>
  <si>
    <t>&lt;= Total bone CL (L/h)</t>
  </si>
  <si>
    <t>height (cm)</t>
  </si>
  <si>
    <t>Total volumes</t>
  </si>
  <si>
    <t>slowly perfused</t>
  </si>
  <si>
    <t>2</t>
  </si>
  <si>
    <t>&lt;= total Qc (L/h)</t>
  </si>
  <si>
    <t>Slowly perfused</t>
  </si>
  <si>
    <t>Volume</t>
  </si>
  <si>
    <t>Tongue</t>
  </si>
  <si>
    <t>Heart</t>
  </si>
  <si>
    <t>Muscle</t>
  </si>
  <si>
    <t>Total</t>
  </si>
  <si>
    <t>Blood flows</t>
  </si>
  <si>
    <t>Surface area (cm^2)</t>
  </si>
  <si>
    <t>^ Vtf/"Total"</t>
  </si>
  <si>
    <t>volume above</t>
  </si>
  <si>
    <t>x Vtf/"Total" volume</t>
  </si>
  <si>
    <t>^ "Total" blood flow above</t>
  </si>
  <si>
    <t>Tissue:plasma coeffs</t>
  </si>
  <si>
    <t>Below was copied, with limited translation, from the Jean et al. spreadsheet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</si>
</sst>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49" fontId="0" fillId="0" borderId="0" xfId="0" applyNumberFormat="1"/>
    <xf numFmtId="11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2" fontId="0" fillId="3" borderId="0" xfId="0" applyNumberFormat="1" applyFill="1"/>
    <xf numFmtId="164" fontId="0" fillId="3" borderId="0" xfId="0" applyNumberFormat="1" applyFill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/>
    <xf numFmtId="2" fontId="0" fillId="0" borderId="0" xfId="0" applyNumberFormat="1"/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AA70-43B6-4F02-AE2A-67A6EACE5958}">
  <dimension ref="A1:N105"/>
  <sheetViews>
    <sheetView tabSelected="1" topLeftCell="A64" zoomScaleNormal="100" workbookViewId="0">
      <selection activeCell="J75" sqref="J75"/>
    </sheetView>
  </sheetViews>
  <sheetFormatPr defaultRowHeight="15" x14ac:dyDescent="0.25"/>
  <cols>
    <col min="1" max="1" width="15.28515625" style="1" bestFit="1" customWidth="1"/>
    <col min="2" max="2" width="51" bestFit="1" customWidth="1"/>
    <col min="3" max="3" width="20.42578125" bestFit="1" customWidth="1"/>
    <col min="4" max="4" width="13.140625" customWidth="1"/>
    <col min="5" max="5" width="22.28515625" bestFit="1" customWidth="1"/>
    <col min="6" max="6" width="19.28515625" bestFit="1" customWidth="1"/>
    <col min="7" max="7" width="12.42578125" bestFit="1" customWidth="1"/>
    <col min="8" max="8" width="17.5703125" bestFit="1" customWidth="1"/>
    <col min="9" max="9" width="6" bestFit="1" customWidth="1"/>
    <col min="10" max="10" width="13.5703125" customWidth="1"/>
    <col min="11" max="11" width="13.140625" customWidth="1"/>
    <col min="12" max="12" width="11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180</v>
      </c>
      <c r="E1" s="1" t="s">
        <v>3</v>
      </c>
      <c r="F1" s="1" t="s">
        <v>119</v>
      </c>
    </row>
    <row r="2" spans="1:6" x14ac:dyDescent="0.25">
      <c r="A2" s="1" t="s">
        <v>4</v>
      </c>
      <c r="B2" t="s">
        <v>5</v>
      </c>
      <c r="F2" t="s">
        <v>181</v>
      </c>
    </row>
    <row r="3" spans="1:6" x14ac:dyDescent="0.25">
      <c r="A3" s="1" t="s">
        <v>6</v>
      </c>
      <c r="B3" t="s">
        <v>7</v>
      </c>
    </row>
    <row r="4" spans="1:6" x14ac:dyDescent="0.25">
      <c r="A4" s="1" t="s">
        <v>8</v>
      </c>
      <c r="B4" t="s">
        <v>9</v>
      </c>
    </row>
    <row r="5" spans="1:6" x14ac:dyDescent="0.25">
      <c r="A5" s="1" t="s">
        <v>10</v>
      </c>
      <c r="B5" t="s">
        <v>11</v>
      </c>
      <c r="C5" t="s">
        <v>12</v>
      </c>
      <c r="E5" t="s">
        <v>247</v>
      </c>
      <c r="F5" t="s">
        <v>170</v>
      </c>
    </row>
    <row r="6" spans="1:6" x14ac:dyDescent="0.25">
      <c r="A6" s="1" t="s">
        <v>13</v>
      </c>
      <c r="B6" t="s">
        <v>14</v>
      </c>
      <c r="C6" t="s">
        <v>15</v>
      </c>
      <c r="E6" t="s">
        <v>248</v>
      </c>
      <c r="F6" t="s">
        <v>171</v>
      </c>
    </row>
    <row r="7" spans="1:6" x14ac:dyDescent="0.25">
      <c r="A7" s="1" t="s">
        <v>16</v>
      </c>
      <c r="B7" t="s">
        <v>17</v>
      </c>
      <c r="C7" t="s">
        <v>18</v>
      </c>
      <c r="E7" t="s">
        <v>249</v>
      </c>
    </row>
    <row r="8" spans="1:6" x14ac:dyDescent="0.25">
      <c r="A8" s="1" t="s">
        <v>20</v>
      </c>
      <c r="B8" t="s">
        <v>21</v>
      </c>
      <c r="C8" t="s">
        <v>19</v>
      </c>
      <c r="E8" t="s">
        <v>182</v>
      </c>
      <c r="F8" t="s">
        <v>241</v>
      </c>
    </row>
    <row r="9" spans="1:6" x14ac:dyDescent="0.25">
      <c r="A9" s="1" t="s">
        <v>245</v>
      </c>
      <c r="B9" t="s">
        <v>23</v>
      </c>
      <c r="C9" t="s">
        <v>24</v>
      </c>
      <c r="D9" s="2">
        <v>2</v>
      </c>
      <c r="E9" s="2" t="s">
        <v>273</v>
      </c>
    </row>
    <row r="10" spans="1:6" x14ac:dyDescent="0.25">
      <c r="A10" s="1" t="s">
        <v>132</v>
      </c>
      <c r="B10" t="s">
        <v>176</v>
      </c>
      <c r="C10" t="s">
        <v>19</v>
      </c>
      <c r="D10" t="s">
        <v>182</v>
      </c>
      <c r="E10" t="s">
        <v>182</v>
      </c>
    </row>
    <row r="11" spans="1:6" x14ac:dyDescent="0.25">
      <c r="A11" s="1" t="s">
        <v>133</v>
      </c>
      <c r="B11" t="s">
        <v>177</v>
      </c>
      <c r="C11" t="s">
        <v>19</v>
      </c>
      <c r="D11" t="s">
        <v>182</v>
      </c>
      <c r="E11" t="s">
        <v>182</v>
      </c>
    </row>
    <row r="12" spans="1:6" x14ac:dyDescent="0.25">
      <c r="A12" s="1" t="s">
        <v>174</v>
      </c>
      <c r="B12" t="s">
        <v>175</v>
      </c>
      <c r="C12" t="s">
        <v>19</v>
      </c>
      <c r="D12" t="s">
        <v>182</v>
      </c>
      <c r="F12" t="s">
        <v>240</v>
      </c>
    </row>
    <row r="13" spans="1:6" x14ac:dyDescent="0.25">
      <c r="A13" s="1" t="s">
        <v>178</v>
      </c>
      <c r="B13" t="s">
        <v>179</v>
      </c>
      <c r="C13" t="s">
        <v>19</v>
      </c>
      <c r="D13" t="s">
        <v>182</v>
      </c>
      <c r="E13" t="s">
        <v>22</v>
      </c>
    </row>
    <row r="14" spans="1:6" x14ac:dyDescent="0.25">
      <c r="A14" s="1" t="s">
        <v>164</v>
      </c>
      <c r="B14" t="s">
        <v>159</v>
      </c>
      <c r="C14" t="s">
        <v>19</v>
      </c>
      <c r="D14" t="s">
        <v>22</v>
      </c>
    </row>
    <row r="15" spans="1:6" x14ac:dyDescent="0.25">
      <c r="A15" s="1" t="s">
        <v>192</v>
      </c>
      <c r="B15" t="s">
        <v>193</v>
      </c>
      <c r="C15" t="s">
        <v>194</v>
      </c>
      <c r="E15">
        <f>1-SUM(E77:E86)</f>
        <v>0</v>
      </c>
    </row>
    <row r="16" spans="1:6" x14ac:dyDescent="0.25">
      <c r="A16" s="1" t="s">
        <v>195</v>
      </c>
      <c r="B16" t="s">
        <v>196</v>
      </c>
      <c r="C16" t="s">
        <v>197</v>
      </c>
      <c r="E16">
        <f>SUM(E62:E76)</f>
        <v>1</v>
      </c>
    </row>
    <row r="18" spans="1:10" x14ac:dyDescent="0.25">
      <c r="A18" s="1" t="s">
        <v>0</v>
      </c>
      <c r="B18" s="1" t="s">
        <v>25</v>
      </c>
      <c r="C18" s="1" t="s">
        <v>26</v>
      </c>
      <c r="D18" s="1" t="s">
        <v>180</v>
      </c>
      <c r="E18" s="1" t="s">
        <v>3</v>
      </c>
    </row>
    <row r="19" spans="1:10" x14ac:dyDescent="0.25">
      <c r="A19" s="1" t="s">
        <v>69</v>
      </c>
      <c r="B19" t="s">
        <v>70</v>
      </c>
      <c r="C19" t="s">
        <v>71</v>
      </c>
      <c r="D19">
        <v>0</v>
      </c>
      <c r="E19">
        <v>19</v>
      </c>
      <c r="F19" t="s">
        <v>246</v>
      </c>
    </row>
    <row r="20" spans="1:10" x14ac:dyDescent="0.25">
      <c r="A20" s="1" t="s">
        <v>27</v>
      </c>
      <c r="B20" t="s">
        <v>28</v>
      </c>
      <c r="D20">
        <v>0.75</v>
      </c>
      <c r="E20">
        <v>0.74</v>
      </c>
    </row>
    <row r="21" spans="1:10" x14ac:dyDescent="0.25">
      <c r="A21" s="1" t="s">
        <v>29</v>
      </c>
      <c r="B21" t="s">
        <v>30</v>
      </c>
      <c r="D21">
        <v>0.75</v>
      </c>
    </row>
    <row r="22" spans="1:10" x14ac:dyDescent="0.25">
      <c r="A22" s="1" t="s">
        <v>226</v>
      </c>
      <c r="B22" t="s">
        <v>227</v>
      </c>
      <c r="D22">
        <v>-0.25</v>
      </c>
      <c r="F22" t="s">
        <v>229</v>
      </c>
    </row>
    <row r="23" spans="1:10" x14ac:dyDescent="0.25">
      <c r="A23" s="1" t="s">
        <v>31</v>
      </c>
      <c r="B23" t="s">
        <v>228</v>
      </c>
      <c r="D23">
        <v>-0.25</v>
      </c>
    </row>
    <row r="24" spans="1:10" x14ac:dyDescent="0.25">
      <c r="A24" s="1" t="s">
        <v>32</v>
      </c>
      <c r="B24" t="s">
        <v>33</v>
      </c>
      <c r="C24" t="s">
        <v>188</v>
      </c>
      <c r="D24">
        <v>0</v>
      </c>
      <c r="E24">
        <f>360/24</f>
        <v>15</v>
      </c>
      <c r="F24" t="s">
        <v>258</v>
      </c>
    </row>
    <row r="25" spans="1:10" x14ac:dyDescent="0.25">
      <c r="A25" s="1" t="s">
        <v>42</v>
      </c>
      <c r="B25" t="s">
        <v>43</v>
      </c>
      <c r="D25">
        <v>0</v>
      </c>
      <c r="F25" s="4">
        <v>16</v>
      </c>
      <c r="G25" s="4" t="s">
        <v>263</v>
      </c>
      <c r="H25" s="4">
        <v>103</v>
      </c>
      <c r="I25" s="4" t="s">
        <v>270</v>
      </c>
      <c r="J25" s="4"/>
    </row>
    <row r="26" spans="1:10" x14ac:dyDescent="0.25">
      <c r="A26" s="1" t="s">
        <v>138</v>
      </c>
      <c r="B26" t="s">
        <v>44</v>
      </c>
      <c r="C26" t="s">
        <v>189</v>
      </c>
      <c r="D26">
        <v>0</v>
      </c>
      <c r="E26" s="3"/>
      <c r="F26" s="4">
        <v>4</v>
      </c>
      <c r="G26" s="4" t="s">
        <v>250</v>
      </c>
      <c r="H26" s="8">
        <f>10000*(BW^0.514994446*(BH^0.422014803)*0.023492833)</f>
        <v>6926.2410142047056</v>
      </c>
      <c r="I26" s="4" t="s">
        <v>282</v>
      </c>
      <c r="J26" s="4"/>
    </row>
    <row r="27" spans="1:10" x14ac:dyDescent="0.25">
      <c r="A27" s="1" t="s">
        <v>139</v>
      </c>
      <c r="B27" t="s">
        <v>45</v>
      </c>
      <c r="C27" t="s">
        <v>46</v>
      </c>
      <c r="D27">
        <v>1</v>
      </c>
      <c r="E27" s="3"/>
      <c r="F27" s="4">
        <f>30.6*EXP(-0.166*age)*(60/1000)*(BW^0.75)</f>
        <v>7.5612070026140072</v>
      </c>
      <c r="G27" s="4" t="s">
        <v>267</v>
      </c>
      <c r="H27" s="4"/>
      <c r="I27" s="4"/>
    </row>
    <row r="28" spans="1:10" x14ac:dyDescent="0.25">
      <c r="A28" s="1" t="s">
        <v>47</v>
      </c>
      <c r="B28" t="s">
        <v>48</v>
      </c>
      <c r="C28" t="s">
        <v>190</v>
      </c>
      <c r="D28">
        <v>0</v>
      </c>
      <c r="F28" s="4">
        <f>F27/(BW^0.75)</f>
        <v>0.94515087532675113</v>
      </c>
      <c r="G28" s="4" t="s">
        <v>264</v>
      </c>
      <c r="H28" s="4"/>
      <c r="I28" s="4"/>
    </row>
    <row r="29" spans="1:10" x14ac:dyDescent="0.25">
      <c r="A29" s="1" t="s">
        <v>140</v>
      </c>
      <c r="B29" t="s">
        <v>49</v>
      </c>
      <c r="C29" t="s">
        <v>190</v>
      </c>
      <c r="D29">
        <v>0</v>
      </c>
      <c r="F29" s="4">
        <f>0.1 + 0.0222*age</f>
        <v>0.18880000000000002</v>
      </c>
      <c r="G29" s="4" t="s">
        <v>251</v>
      </c>
      <c r="H29" s="4"/>
      <c r="I29" s="4"/>
    </row>
    <row r="30" spans="1:10" x14ac:dyDescent="0.25">
      <c r="A30" s="1" t="s">
        <v>141</v>
      </c>
      <c r="B30" t="s">
        <v>208</v>
      </c>
      <c r="C30" t="s">
        <v>36</v>
      </c>
      <c r="D30">
        <v>0</v>
      </c>
      <c r="F30" s="4">
        <f>0.9-0.0222*age</f>
        <v>0.81120000000000003</v>
      </c>
      <c r="G30" s="4" t="s">
        <v>252</v>
      </c>
      <c r="H30" s="4"/>
      <c r="I30" s="4"/>
    </row>
    <row r="31" spans="1:10" x14ac:dyDescent="0.25">
      <c r="A31" s="1" t="s">
        <v>142</v>
      </c>
      <c r="B31" t="s">
        <v>50</v>
      </c>
      <c r="C31" t="s">
        <v>190</v>
      </c>
      <c r="D31">
        <v>0</v>
      </c>
    </row>
    <row r="32" spans="1:10" x14ac:dyDescent="0.25">
      <c r="A32" s="1" t="s">
        <v>51</v>
      </c>
      <c r="B32" t="s">
        <v>205</v>
      </c>
      <c r="C32" t="s">
        <v>36</v>
      </c>
      <c r="D32">
        <v>0</v>
      </c>
      <c r="F32" t="s">
        <v>239</v>
      </c>
    </row>
    <row r="33" spans="1:8" x14ac:dyDescent="0.25">
      <c r="A33" s="1" t="s">
        <v>52</v>
      </c>
      <c r="B33" t="s">
        <v>206</v>
      </c>
      <c r="C33" t="s">
        <v>36</v>
      </c>
      <c r="D33">
        <v>0</v>
      </c>
    </row>
    <row r="34" spans="1:8" x14ac:dyDescent="0.25">
      <c r="A34" s="1" t="s">
        <v>53</v>
      </c>
      <c r="B34" t="s">
        <v>207</v>
      </c>
      <c r="C34" t="s">
        <v>36</v>
      </c>
      <c r="D34">
        <v>0</v>
      </c>
    </row>
    <row r="35" spans="1:8" x14ac:dyDescent="0.25">
      <c r="A35" s="1" t="s">
        <v>54</v>
      </c>
      <c r="B35" t="s">
        <v>55</v>
      </c>
      <c r="C35" t="s">
        <v>36</v>
      </c>
      <c r="D35">
        <v>0</v>
      </c>
      <c r="F35" s="4" t="s">
        <v>268</v>
      </c>
    </row>
    <row r="36" spans="1:8" x14ac:dyDescent="0.25">
      <c r="A36" s="1" t="s">
        <v>165</v>
      </c>
      <c r="B36" t="s">
        <v>166</v>
      </c>
      <c r="C36" t="s">
        <v>190</v>
      </c>
      <c r="D36">
        <v>0</v>
      </c>
      <c r="E36" s="4">
        <f>F36/(BW^0.75)</f>
        <v>0.17844448526169063</v>
      </c>
      <c r="F36" s="4">
        <f>CLp*F29</f>
        <v>1.4275558820935248</v>
      </c>
      <c r="G36" t="s">
        <v>235</v>
      </c>
    </row>
    <row r="37" spans="1:8" x14ac:dyDescent="0.25">
      <c r="A37" s="1" t="s">
        <v>56</v>
      </c>
      <c r="B37" t="s">
        <v>167</v>
      </c>
      <c r="C37" t="s">
        <v>190</v>
      </c>
      <c r="D37">
        <v>0</v>
      </c>
    </row>
    <row r="38" spans="1:8" x14ac:dyDescent="0.25">
      <c r="A38" s="1" t="s">
        <v>237</v>
      </c>
      <c r="B38" t="s">
        <v>57</v>
      </c>
      <c r="C38" t="s">
        <v>46</v>
      </c>
      <c r="D38">
        <v>1</v>
      </c>
    </row>
    <row r="39" spans="1:8" x14ac:dyDescent="0.25">
      <c r="A39" s="1" t="s">
        <v>236</v>
      </c>
      <c r="B39" t="s">
        <v>58</v>
      </c>
      <c r="C39" t="s">
        <v>59</v>
      </c>
      <c r="D39">
        <v>0</v>
      </c>
    </row>
    <row r="40" spans="1:8" x14ac:dyDescent="0.25">
      <c r="A40" s="1" t="s">
        <v>238</v>
      </c>
      <c r="B40" t="s">
        <v>60</v>
      </c>
      <c r="C40" t="s">
        <v>36</v>
      </c>
      <c r="D40">
        <v>0</v>
      </c>
    </row>
    <row r="41" spans="1:8" x14ac:dyDescent="0.25">
      <c r="A41" s="1" t="s">
        <v>143</v>
      </c>
      <c r="B41" t="s">
        <v>61</v>
      </c>
      <c r="C41" t="s">
        <v>189</v>
      </c>
      <c r="D41">
        <v>0</v>
      </c>
      <c r="F41" t="s">
        <v>230</v>
      </c>
    </row>
    <row r="42" spans="1:8" x14ac:dyDescent="0.25">
      <c r="A42" s="1" t="s">
        <v>144</v>
      </c>
      <c r="B42" t="s">
        <v>62</v>
      </c>
      <c r="C42" t="s">
        <v>46</v>
      </c>
      <c r="D42">
        <v>1</v>
      </c>
    </row>
    <row r="43" spans="1:8" x14ac:dyDescent="0.25">
      <c r="A43" s="1" t="s">
        <v>145</v>
      </c>
      <c r="B43" t="s">
        <v>63</v>
      </c>
      <c r="C43" t="s">
        <v>244</v>
      </c>
      <c r="D43">
        <v>0</v>
      </c>
    </row>
    <row r="44" spans="1:8" x14ac:dyDescent="0.25">
      <c r="A44" s="1" t="s">
        <v>146</v>
      </c>
      <c r="B44" t="s">
        <v>64</v>
      </c>
      <c r="C44" t="s">
        <v>189</v>
      </c>
      <c r="D44">
        <v>0</v>
      </c>
      <c r="F44" t="s">
        <v>230</v>
      </c>
    </row>
    <row r="45" spans="1:8" x14ac:dyDescent="0.25">
      <c r="A45" s="1" t="s">
        <v>147</v>
      </c>
      <c r="B45" t="s">
        <v>65</v>
      </c>
      <c r="C45" t="s">
        <v>46</v>
      </c>
      <c r="D45">
        <v>1</v>
      </c>
    </row>
    <row r="46" spans="1:8" x14ac:dyDescent="0.25">
      <c r="A46" s="1" t="s">
        <v>203</v>
      </c>
      <c r="B46" t="s">
        <v>204</v>
      </c>
      <c r="C46" t="s">
        <v>244</v>
      </c>
      <c r="D46">
        <v>0</v>
      </c>
      <c r="E46" s="4"/>
      <c r="F46" s="4">
        <f>CLp*F30</f>
        <v>6.1336511205204829</v>
      </c>
      <c r="G46" s="4" t="s">
        <v>269</v>
      </c>
      <c r="H46" s="4"/>
    </row>
    <row r="47" spans="1:8" x14ac:dyDescent="0.25">
      <c r="A47" s="1" t="s">
        <v>148</v>
      </c>
      <c r="B47" t="s">
        <v>66</v>
      </c>
      <c r="C47" t="s">
        <v>189</v>
      </c>
      <c r="D47">
        <v>0</v>
      </c>
      <c r="F47" t="s">
        <v>230</v>
      </c>
    </row>
    <row r="48" spans="1:8" x14ac:dyDescent="0.25">
      <c r="A48" s="1" t="s">
        <v>149</v>
      </c>
      <c r="B48" t="s">
        <v>67</v>
      </c>
      <c r="C48" t="s">
        <v>46</v>
      </c>
      <c r="D48">
        <v>1</v>
      </c>
    </row>
    <row r="49" spans="1:6" x14ac:dyDescent="0.25">
      <c r="A49" s="1" t="s">
        <v>150</v>
      </c>
      <c r="B49" t="s">
        <v>68</v>
      </c>
      <c r="C49" t="s">
        <v>244</v>
      </c>
      <c r="D49">
        <v>0</v>
      </c>
    </row>
    <row r="50" spans="1:6" x14ac:dyDescent="0.25">
      <c r="A50" s="1" t="s">
        <v>37</v>
      </c>
      <c r="B50" t="s">
        <v>38</v>
      </c>
      <c r="D50">
        <v>0</v>
      </c>
    </row>
    <row r="51" spans="1:6" x14ac:dyDescent="0.25">
      <c r="A51" s="1" t="s">
        <v>168</v>
      </c>
      <c r="B51" t="s">
        <v>169</v>
      </c>
      <c r="D51">
        <v>1</v>
      </c>
    </row>
    <row r="52" spans="1:6" x14ac:dyDescent="0.25">
      <c r="A52" s="1" t="s">
        <v>39</v>
      </c>
      <c r="B52" t="s">
        <v>40</v>
      </c>
      <c r="D52">
        <v>1</v>
      </c>
    </row>
    <row r="53" spans="1:6" x14ac:dyDescent="0.25">
      <c r="A53" s="1" t="s">
        <v>184</v>
      </c>
      <c r="B53" t="s">
        <v>183</v>
      </c>
      <c r="C53" t="s">
        <v>185</v>
      </c>
      <c r="D53">
        <v>0</v>
      </c>
    </row>
    <row r="54" spans="1:6" x14ac:dyDescent="0.25">
      <c r="A54" s="1" t="s">
        <v>160</v>
      </c>
      <c r="B54" t="s">
        <v>162</v>
      </c>
      <c r="C54" t="s">
        <v>191</v>
      </c>
      <c r="D54">
        <v>1</v>
      </c>
    </row>
    <row r="55" spans="1:6" x14ac:dyDescent="0.25">
      <c r="A55" s="1" t="s">
        <v>161</v>
      </c>
      <c r="B55" t="s">
        <v>163</v>
      </c>
      <c r="D55">
        <v>0</v>
      </c>
    </row>
    <row r="56" spans="1:6" x14ac:dyDescent="0.25">
      <c r="A56" s="1" t="s">
        <v>198</v>
      </c>
      <c r="B56" t="s">
        <v>199</v>
      </c>
      <c r="C56" t="s">
        <v>36</v>
      </c>
      <c r="D56">
        <v>0</v>
      </c>
    </row>
    <row r="57" spans="1:6" x14ac:dyDescent="0.25">
      <c r="A57" s="1" t="s">
        <v>200</v>
      </c>
      <c r="B57" t="s">
        <v>201</v>
      </c>
      <c r="C57" t="s">
        <v>202</v>
      </c>
      <c r="D57">
        <v>0</v>
      </c>
    </row>
    <row r="58" spans="1:6" x14ac:dyDescent="0.25">
      <c r="A58" s="1" t="s">
        <v>231</v>
      </c>
      <c r="B58" t="s">
        <v>232</v>
      </c>
      <c r="C58" t="s">
        <v>234</v>
      </c>
      <c r="D58">
        <v>0</v>
      </c>
      <c r="F58" t="s">
        <v>233</v>
      </c>
    </row>
    <row r="59" spans="1:6" x14ac:dyDescent="0.25">
      <c r="A59" s="1" t="s">
        <v>41</v>
      </c>
      <c r="B59" t="s">
        <v>242</v>
      </c>
      <c r="D59">
        <v>1</v>
      </c>
    </row>
    <row r="61" spans="1:6" x14ac:dyDescent="0.25">
      <c r="A61" s="1" t="s">
        <v>0</v>
      </c>
      <c r="B61" s="1" t="s">
        <v>120</v>
      </c>
      <c r="C61" s="1" t="s">
        <v>26</v>
      </c>
      <c r="D61" s="1" t="s">
        <v>180</v>
      </c>
      <c r="E61" s="1" t="s">
        <v>3</v>
      </c>
    </row>
    <row r="62" spans="1:6" x14ac:dyDescent="0.25">
      <c r="A62" s="1" t="s">
        <v>79</v>
      </c>
      <c r="B62" t="s">
        <v>80</v>
      </c>
      <c r="C62" t="s">
        <v>186</v>
      </c>
      <c r="D62">
        <v>1</v>
      </c>
      <c r="F62" t="s">
        <v>212</v>
      </c>
    </row>
    <row r="63" spans="1:6" x14ac:dyDescent="0.25">
      <c r="A63" s="1" t="s">
        <v>134</v>
      </c>
      <c r="B63" t="s">
        <v>135</v>
      </c>
      <c r="C63" t="s">
        <v>186</v>
      </c>
      <c r="D63">
        <v>1</v>
      </c>
      <c r="F63" t="s">
        <v>213</v>
      </c>
    </row>
    <row r="64" spans="1:6" x14ac:dyDescent="0.25">
      <c r="A64" s="1" t="s">
        <v>136</v>
      </c>
      <c r="B64" t="s">
        <v>137</v>
      </c>
      <c r="C64" t="s">
        <v>186</v>
      </c>
      <c r="D64">
        <v>1</v>
      </c>
      <c r="F64" t="s">
        <v>214</v>
      </c>
    </row>
    <row r="65" spans="1:12" x14ac:dyDescent="0.25">
      <c r="A65" s="1" t="s">
        <v>82</v>
      </c>
      <c r="B65" t="s">
        <v>81</v>
      </c>
      <c r="C65" t="s">
        <v>186</v>
      </c>
      <c r="D65">
        <v>1</v>
      </c>
      <c r="F65" t="s">
        <v>215</v>
      </c>
    </row>
    <row r="66" spans="1:12" x14ac:dyDescent="0.25">
      <c r="A66" s="1" t="s">
        <v>89</v>
      </c>
      <c r="B66" t="s">
        <v>209</v>
      </c>
      <c r="C66" t="s">
        <v>186</v>
      </c>
      <c r="D66">
        <v>1</v>
      </c>
      <c r="F66" t="s">
        <v>216</v>
      </c>
      <c r="G66" s="4" t="s">
        <v>271</v>
      </c>
    </row>
    <row r="67" spans="1:12" x14ac:dyDescent="0.25">
      <c r="A67" s="1" t="s">
        <v>90</v>
      </c>
      <c r="B67" t="s">
        <v>83</v>
      </c>
      <c r="C67" t="s">
        <v>186</v>
      </c>
      <c r="D67">
        <v>1</v>
      </c>
      <c r="E67" s="4">
        <v>2.5999999999999999E-2</v>
      </c>
      <c r="F67" t="s">
        <v>217</v>
      </c>
      <c r="G67" s="4">
        <f>E67*BW</f>
        <v>0.41599999999999998</v>
      </c>
    </row>
    <row r="68" spans="1:12" x14ac:dyDescent="0.25">
      <c r="A68" s="1" t="s">
        <v>91</v>
      </c>
      <c r="B68" t="s">
        <v>84</v>
      </c>
      <c r="C68" t="s">
        <v>186</v>
      </c>
      <c r="D68">
        <v>1</v>
      </c>
      <c r="E68" s="4">
        <f>((4.214*BW^0.823)+(4.456*BW^0.795))/(BW*1000)</f>
        <v>5.1037420752262702E-3</v>
      </c>
      <c r="F68" t="s">
        <v>218</v>
      </c>
      <c r="G68" s="4">
        <f>E68*BW</f>
        <v>8.1659873203620323E-2</v>
      </c>
    </row>
    <row r="69" spans="1:12" x14ac:dyDescent="0.25">
      <c r="A69" s="1" t="s">
        <v>92</v>
      </c>
      <c r="B69" t="s">
        <v>85</v>
      </c>
      <c r="C69" t="s">
        <v>186</v>
      </c>
      <c r="D69">
        <v>1</v>
      </c>
      <c r="F69" t="s">
        <v>219</v>
      </c>
    </row>
    <row r="70" spans="1:12" x14ac:dyDescent="0.25">
      <c r="A70" s="1" t="s">
        <v>93</v>
      </c>
      <c r="B70" t="s">
        <v>255</v>
      </c>
      <c r="C70" t="s">
        <v>186</v>
      </c>
      <c r="D70">
        <v>1</v>
      </c>
      <c r="E70" s="4">
        <f>(((-0.005309*age+1.008*BW^0.493+BH^0.3765-7.952)+( 0.002331*age+0.1253*BW^0.8477+BH^0.3821-4.725))/(2*BW))-E67-E68</f>
        <v>9.9581643578766893E-2</v>
      </c>
      <c r="F70" t="s">
        <v>259</v>
      </c>
      <c r="G70" s="4">
        <f>E70*BW</f>
        <v>1.5933062972602703</v>
      </c>
    </row>
    <row r="71" spans="1:12" x14ac:dyDescent="0.25">
      <c r="A71" s="1" t="s">
        <v>94</v>
      </c>
      <c r="B71" t="s">
        <v>152</v>
      </c>
      <c r="C71" t="s">
        <v>186</v>
      </c>
      <c r="D71">
        <v>1</v>
      </c>
      <c r="F71" t="s">
        <v>220</v>
      </c>
    </row>
    <row r="72" spans="1:12" x14ac:dyDescent="0.25">
      <c r="A72" s="1" t="s">
        <v>95</v>
      </c>
      <c r="B72" t="s">
        <v>86</v>
      </c>
      <c r="C72" t="s">
        <v>186</v>
      </c>
      <c r="D72">
        <v>1</v>
      </c>
      <c r="F72" t="s">
        <v>221</v>
      </c>
    </row>
    <row r="73" spans="1:12" x14ac:dyDescent="0.25">
      <c r="A73" s="1" t="s">
        <v>96</v>
      </c>
      <c r="B73" t="s">
        <v>87</v>
      </c>
      <c r="C73" t="s">
        <v>186</v>
      </c>
      <c r="D73">
        <v>1</v>
      </c>
      <c r="F73" t="s">
        <v>222</v>
      </c>
    </row>
    <row r="74" spans="1:12" ht="15.75" thickBot="1" x14ac:dyDescent="0.3">
      <c r="A74" s="1" t="s">
        <v>97</v>
      </c>
      <c r="B74" t="s">
        <v>88</v>
      </c>
      <c r="C74" t="s">
        <v>186</v>
      </c>
      <c r="D74">
        <v>1</v>
      </c>
      <c r="F74" t="s">
        <v>223</v>
      </c>
      <c r="J74" t="s">
        <v>288</v>
      </c>
    </row>
    <row r="75" spans="1:12" ht="15.75" thickBot="1" x14ac:dyDescent="0.3">
      <c r="A75" s="1" t="s">
        <v>98</v>
      </c>
      <c r="B75" t="s">
        <v>253</v>
      </c>
      <c r="C75" t="s">
        <v>186</v>
      </c>
      <c r="D75">
        <v>1</v>
      </c>
      <c r="E75" s="4">
        <v>7.0000000000000007E-2</v>
      </c>
      <c r="F75" s="4" t="s">
        <v>260</v>
      </c>
      <c r="G75" s="4">
        <f>E75*BW</f>
        <v>1.1200000000000001</v>
      </c>
      <c r="J75" s="9"/>
      <c r="K75" s="10" t="s">
        <v>275</v>
      </c>
      <c r="L75" s="11"/>
    </row>
    <row r="76" spans="1:12" x14ac:dyDescent="0.25">
      <c r="A76" s="1" t="s">
        <v>151</v>
      </c>
      <c r="B76" t="s">
        <v>254</v>
      </c>
      <c r="C76" t="s">
        <v>186</v>
      </c>
      <c r="D76">
        <v>1</v>
      </c>
      <c r="E76" s="4">
        <f>1-SUM(E67:E75)</f>
        <v>0.79931461434600681</v>
      </c>
      <c r="F76" s="4" t="s">
        <v>272</v>
      </c>
      <c r="G76" s="7">
        <f>E76*BW</f>
        <v>12.789033829536109</v>
      </c>
      <c r="J76" s="12"/>
      <c r="K76" s="13" t="s">
        <v>276</v>
      </c>
      <c r="L76" s="14" t="s">
        <v>281</v>
      </c>
    </row>
    <row r="77" spans="1:12" x14ac:dyDescent="0.25">
      <c r="A77" s="1" t="s">
        <v>104</v>
      </c>
      <c r="B77" t="s">
        <v>210</v>
      </c>
      <c r="C77" t="s">
        <v>185</v>
      </c>
      <c r="D77">
        <v>0</v>
      </c>
      <c r="F77" t="s">
        <v>216</v>
      </c>
      <c r="G77" s="7">
        <f>(360*(BW^0.74))/24</f>
        <v>116.71859368947428</v>
      </c>
      <c r="H77" t="s">
        <v>274</v>
      </c>
      <c r="J77" s="15" t="s">
        <v>277</v>
      </c>
      <c r="K77" s="13">
        <f>0.00119*BW-0.0004302</f>
        <v>1.8609800000000003E-2</v>
      </c>
      <c r="L77" s="14">
        <f>0.03*K77</f>
        <v>5.5829400000000009E-4</v>
      </c>
    </row>
    <row r="78" spans="1:12" x14ac:dyDescent="0.25">
      <c r="A78" s="1" t="s">
        <v>105</v>
      </c>
      <c r="B78" t="s">
        <v>99</v>
      </c>
      <c r="C78" t="s">
        <v>185</v>
      </c>
      <c r="D78">
        <v>0</v>
      </c>
      <c r="E78" s="4" cm="1">
        <f t="array" ref="E78">G78/Qct</f>
        <v>3.278997697815081E-3</v>
      </c>
      <c r="F78" t="s">
        <v>217</v>
      </c>
      <c r="G78" s="7">
        <f>0.92*G67</f>
        <v>0.38272</v>
      </c>
      <c r="J78" s="15" t="s">
        <v>278</v>
      </c>
      <c r="K78" s="13">
        <f>0.0000001017*((BH^0.6862*BW^0.3561*242.7+BH^0.664*BW^0.3851*242.7)/2)^1.42</f>
        <v>9.0660865954799885E-2</v>
      </c>
      <c r="L78" s="14">
        <f>0.845*K78</f>
        <v>7.6608431731805898E-2</v>
      </c>
    </row>
    <row r="79" spans="1:12" x14ac:dyDescent="0.25">
      <c r="A79" s="1" t="s">
        <v>106</v>
      </c>
      <c r="B79" t="s">
        <v>100</v>
      </c>
      <c r="C79" t="s">
        <v>185</v>
      </c>
      <c r="D79">
        <v>0</v>
      </c>
      <c r="E79" s="4">
        <v>0.18</v>
      </c>
      <c r="F79" t="s">
        <v>218</v>
      </c>
      <c r="G79" s="7">
        <f>E79*Qct</f>
        <v>21.009346864105368</v>
      </c>
      <c r="J79" s="15" t="s">
        <v>279</v>
      </c>
      <c r="K79" s="13">
        <f>((6.78*(surface/10000)^1.629-0.001492*age+3.58)+(0.2598*BW+0.1206*BH-0.0043*age-11.1)/1.04)/2</f>
        <v>6.2763645433826127</v>
      </c>
      <c r="L79" s="14">
        <f>0.03*K79</f>
        <v>0.18829093630147836</v>
      </c>
    </row>
    <row r="80" spans="1:12" ht="15.75" thickBot="1" x14ac:dyDescent="0.3">
      <c r="A80" s="1" t="s">
        <v>107</v>
      </c>
      <c r="B80" t="s">
        <v>173</v>
      </c>
      <c r="C80" t="s">
        <v>185</v>
      </c>
      <c r="D80">
        <v>0</v>
      </c>
      <c r="E80" s="5">
        <f>1-SUM(E78:E79,E85:E86)</f>
        <v>0.76216599738664981</v>
      </c>
      <c r="F80" t="s">
        <v>259</v>
      </c>
      <c r="G80" s="7">
        <f>E80*Qct</f>
        <v>88.958943372905296</v>
      </c>
      <c r="H80" s="5" t="s">
        <v>256</v>
      </c>
      <c r="J80" s="15" t="s">
        <v>280</v>
      </c>
      <c r="K80" s="13">
        <f>SUM(K77:K79)</f>
        <v>6.3856352093374129</v>
      </c>
      <c r="L80" s="14">
        <f>SUM(L77:L79)</f>
        <v>0.26545766203328425</v>
      </c>
    </row>
    <row r="81" spans="1:14" ht="15.75" thickBot="1" x14ac:dyDescent="0.3">
      <c r="A81" s="1" t="s">
        <v>108</v>
      </c>
      <c r="B81" t="s">
        <v>155</v>
      </c>
      <c r="C81" t="s">
        <v>185</v>
      </c>
      <c r="D81">
        <v>0</v>
      </c>
      <c r="F81" t="s">
        <v>220</v>
      </c>
      <c r="J81" s="9"/>
      <c r="K81" s="16">
        <f>Vtf/K80</f>
        <v>2.002781776640687</v>
      </c>
      <c r="L81" s="11">
        <f>K81*L80</f>
        <v>0.53165376798990405</v>
      </c>
    </row>
    <row r="82" spans="1:14" x14ac:dyDescent="0.25">
      <c r="A82" s="1" t="s">
        <v>109</v>
      </c>
      <c r="B82" t="s">
        <v>101</v>
      </c>
      <c r="C82" t="s">
        <v>185</v>
      </c>
      <c r="D82">
        <v>0</v>
      </c>
      <c r="F82" t="s">
        <v>221</v>
      </c>
      <c r="K82" s="17" t="s">
        <v>283</v>
      </c>
      <c r="L82" s="4" t="s">
        <v>286</v>
      </c>
      <c r="M82" s="4"/>
      <c r="N82" s="4"/>
    </row>
    <row r="83" spans="1:14" x14ac:dyDescent="0.25">
      <c r="A83" s="1" t="s">
        <v>110</v>
      </c>
      <c r="B83" t="s">
        <v>102</v>
      </c>
      <c r="C83" t="s">
        <v>185</v>
      </c>
      <c r="D83">
        <v>0</v>
      </c>
      <c r="F83" t="s">
        <v>222</v>
      </c>
      <c r="K83" s="17" t="s">
        <v>284</v>
      </c>
      <c r="L83" s="4" t="s">
        <v>285</v>
      </c>
      <c r="M83" s="4"/>
      <c r="N83" s="4"/>
    </row>
    <row r="84" spans="1:14" x14ac:dyDescent="0.25">
      <c r="A84" s="1" t="s">
        <v>111</v>
      </c>
      <c r="B84" t="s">
        <v>103</v>
      </c>
      <c r="C84" t="s">
        <v>185</v>
      </c>
      <c r="D84">
        <v>0</v>
      </c>
      <c r="F84" t="s">
        <v>223</v>
      </c>
    </row>
    <row r="85" spans="1:14" x14ac:dyDescent="0.25">
      <c r="A85" s="1" t="s">
        <v>112</v>
      </c>
      <c r="B85" t="s">
        <v>257</v>
      </c>
      <c r="C85" t="s">
        <v>185</v>
      </c>
      <c r="D85">
        <v>0</v>
      </c>
      <c r="E85" s="6">
        <v>0.05</v>
      </c>
      <c r="F85" s="4" t="s">
        <v>260</v>
      </c>
      <c r="G85" s="7">
        <f>E85*Qct</f>
        <v>5.8359296844737143</v>
      </c>
      <c r="H85" s="6" t="s">
        <v>261</v>
      </c>
      <c r="I85" s="6"/>
      <c r="J85" s="6"/>
      <c r="K85" s="6"/>
    </row>
    <row r="86" spans="1:14" x14ac:dyDescent="0.25">
      <c r="A86" s="1" t="s">
        <v>153</v>
      </c>
      <c r="B86" t="s">
        <v>154</v>
      </c>
      <c r="C86" t="s">
        <v>185</v>
      </c>
      <c r="D86">
        <v>0</v>
      </c>
      <c r="E86" s="4">
        <f>G86/Qct</f>
        <v>4.5550049155351395E-3</v>
      </c>
      <c r="F86" s="4" t="s">
        <v>272</v>
      </c>
      <c r="G86" s="7">
        <f>L81</f>
        <v>0.53165376798990405</v>
      </c>
    </row>
    <row r="87" spans="1:14" x14ac:dyDescent="0.25">
      <c r="A87" s="1" t="s">
        <v>121</v>
      </c>
      <c r="B87" t="s">
        <v>113</v>
      </c>
      <c r="D87">
        <v>1</v>
      </c>
      <c r="F87" t="s">
        <v>215</v>
      </c>
    </row>
    <row r="88" spans="1:14" x14ac:dyDescent="0.25">
      <c r="A88" s="1" t="s">
        <v>122</v>
      </c>
      <c r="B88" t="s">
        <v>211</v>
      </c>
      <c r="D88">
        <v>1</v>
      </c>
      <c r="F88" t="s">
        <v>216</v>
      </c>
      <c r="G88" s="4" t="s">
        <v>287</v>
      </c>
      <c r="H88" s="4"/>
    </row>
    <row r="89" spans="1:14" x14ac:dyDescent="0.25">
      <c r="A89" s="1" t="s">
        <v>123</v>
      </c>
      <c r="B89" t="s">
        <v>114</v>
      </c>
      <c r="D89">
        <v>1</v>
      </c>
      <c r="E89" s="7">
        <f>G89*1.333</f>
        <v>1.3063399999999998</v>
      </c>
      <c r="F89" t="s">
        <v>217</v>
      </c>
      <c r="G89">
        <v>0.98</v>
      </c>
    </row>
    <row r="90" spans="1:14" x14ac:dyDescent="0.25">
      <c r="A90" s="1" t="s">
        <v>124</v>
      </c>
      <c r="B90" t="s">
        <v>115</v>
      </c>
      <c r="D90">
        <v>1</v>
      </c>
      <c r="E90" s="7">
        <f t="shared" ref="E90:E91" si="0">G90*1.333</f>
        <v>5.54528</v>
      </c>
      <c r="F90" t="s">
        <v>218</v>
      </c>
      <c r="G90">
        <v>4.16</v>
      </c>
    </row>
    <row r="91" spans="1:14" x14ac:dyDescent="0.25">
      <c r="A91" s="1" t="s">
        <v>125</v>
      </c>
      <c r="B91" t="s">
        <v>172</v>
      </c>
      <c r="D91">
        <v>1</v>
      </c>
      <c r="E91" s="7">
        <f t="shared" si="0"/>
        <v>1.10639</v>
      </c>
      <c r="F91" t="s">
        <v>259</v>
      </c>
      <c r="G91">
        <v>0.83</v>
      </c>
    </row>
    <row r="92" spans="1:14" x14ac:dyDescent="0.25">
      <c r="A92" s="1" t="s">
        <v>126</v>
      </c>
      <c r="B92" t="s">
        <v>158</v>
      </c>
      <c r="D92">
        <v>1</v>
      </c>
      <c r="E92" s="18"/>
      <c r="F92" t="s">
        <v>220</v>
      </c>
    </row>
    <row r="93" spans="1:14" x14ac:dyDescent="0.25">
      <c r="A93" s="1" t="s">
        <v>127</v>
      </c>
      <c r="B93" t="s">
        <v>116</v>
      </c>
      <c r="D93">
        <v>1</v>
      </c>
      <c r="E93" s="18"/>
      <c r="F93" t="s">
        <v>221</v>
      </c>
    </row>
    <row r="94" spans="1:14" x14ac:dyDescent="0.25">
      <c r="A94" s="1" t="s">
        <v>128</v>
      </c>
      <c r="B94" t="s">
        <v>117</v>
      </c>
      <c r="D94">
        <v>1</v>
      </c>
      <c r="E94" s="18"/>
      <c r="F94" t="s">
        <v>222</v>
      </c>
    </row>
    <row r="95" spans="1:14" x14ac:dyDescent="0.25">
      <c r="A95" s="1" t="s">
        <v>129</v>
      </c>
      <c r="B95" t="s">
        <v>118</v>
      </c>
      <c r="D95">
        <v>1</v>
      </c>
      <c r="E95" s="18"/>
      <c r="F95" t="s">
        <v>223</v>
      </c>
    </row>
    <row r="96" spans="1:14" x14ac:dyDescent="0.25">
      <c r="A96" s="1" t="s">
        <v>130</v>
      </c>
      <c r="B96" t="s">
        <v>131</v>
      </c>
      <c r="D96">
        <v>1</v>
      </c>
      <c r="E96" s="7">
        <f t="shared" ref="E96:E97" si="1">G96*1.333</f>
        <v>1333</v>
      </c>
      <c r="F96" s="4" t="s">
        <v>260</v>
      </c>
      <c r="G96">
        <v>1000</v>
      </c>
    </row>
    <row r="97" spans="1:7" x14ac:dyDescent="0.25">
      <c r="A97" s="1" t="s">
        <v>156</v>
      </c>
      <c r="B97" t="s">
        <v>157</v>
      </c>
      <c r="D97">
        <v>1</v>
      </c>
      <c r="E97" s="7">
        <f t="shared" si="1"/>
        <v>0.83979000000000004</v>
      </c>
      <c r="F97" s="4" t="s">
        <v>272</v>
      </c>
      <c r="G97">
        <v>0.63</v>
      </c>
    </row>
    <row r="99" spans="1:7" x14ac:dyDescent="0.25">
      <c r="A99" s="1" t="s">
        <v>0</v>
      </c>
      <c r="B99" s="1" t="s">
        <v>243</v>
      </c>
      <c r="C99" s="1" t="s">
        <v>26</v>
      </c>
      <c r="D99" s="1" t="s">
        <v>180</v>
      </c>
      <c r="E99" s="1" t="s">
        <v>3</v>
      </c>
    </row>
    <row r="100" spans="1:7" x14ac:dyDescent="0.25">
      <c r="A100" s="1" t="s">
        <v>34</v>
      </c>
      <c r="B100" t="s">
        <v>35</v>
      </c>
    </row>
    <row r="102" spans="1:7" x14ac:dyDescent="0.25">
      <c r="A102" s="1" t="s">
        <v>0</v>
      </c>
      <c r="B102" s="1" t="s">
        <v>72</v>
      </c>
      <c r="C102" s="1" t="s">
        <v>3</v>
      </c>
      <c r="D102" s="1"/>
      <c r="E102" s="1" t="s">
        <v>187</v>
      </c>
    </row>
    <row r="103" spans="1:7" x14ac:dyDescent="0.25">
      <c r="A103" s="1" t="s">
        <v>73</v>
      </c>
      <c r="B103" t="s">
        <v>74</v>
      </c>
    </row>
    <row r="104" spans="1:7" x14ac:dyDescent="0.25">
      <c r="A104" s="1" t="s">
        <v>75</v>
      </c>
      <c r="B104" t="s">
        <v>76</v>
      </c>
    </row>
    <row r="105" spans="1:7" x14ac:dyDescent="0.25">
      <c r="A105" s="1" t="s">
        <v>77</v>
      </c>
      <c r="B105" t="s">
        <v>78</v>
      </c>
    </row>
  </sheetData>
  <conditionalFormatting sqref="E15">
    <cfRule type="cellIs" dxfId="11" priority="4" operator="greaterThan">
      <formula>0</formula>
    </cfRule>
    <cfRule type="cellIs" dxfId="10" priority="5" operator="lessThan">
      <formula>0</formula>
    </cfRule>
    <cfRule type="cellIs" dxfId="9" priority="6" operator="equal">
      <formula>0</formula>
    </cfRule>
  </conditionalFormatting>
  <conditionalFormatting sqref="E16">
    <cfRule type="cellIs" dxfId="8" priority="1" operator="lessThan">
      <formula>0.8</formula>
    </cfRule>
    <cfRule type="cellIs" dxfId="7" priority="2" operator="greaterThan">
      <formula>1.2</formula>
    </cfRule>
    <cfRule type="cellIs" dxfId="6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FCFD-82CD-436F-B981-3C7AACA19280}">
  <dimension ref="A1:J105"/>
  <sheetViews>
    <sheetView topLeftCell="A21" zoomScaleNormal="100" workbookViewId="0">
      <selection activeCell="F25" sqref="F25:I30"/>
    </sheetView>
  </sheetViews>
  <sheetFormatPr defaultRowHeight="15" x14ac:dyDescent="0.25"/>
  <cols>
    <col min="1" max="1" width="15.28515625" style="1" bestFit="1" customWidth="1"/>
    <col min="2" max="2" width="51" bestFit="1" customWidth="1"/>
    <col min="3" max="3" width="20.42578125" bestFit="1" customWidth="1"/>
    <col min="4" max="4" width="13.140625" customWidth="1"/>
    <col min="5" max="5" width="22.28515625" bestFit="1" customWidth="1"/>
    <col min="6" max="6" width="19.28515625" bestFit="1" customWidth="1"/>
    <col min="7" max="7" width="12.42578125" bestFit="1" customWidth="1"/>
    <col min="8" max="8" width="17.5703125" bestFit="1" customWidth="1"/>
    <col min="9" max="9" width="6" bestFit="1" customWidth="1"/>
    <col min="10" max="10" width="13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180</v>
      </c>
      <c r="E1" s="1" t="s">
        <v>3</v>
      </c>
      <c r="F1" s="1" t="s">
        <v>119</v>
      </c>
    </row>
    <row r="2" spans="1:6" x14ac:dyDescent="0.25">
      <c r="A2" s="1" t="s">
        <v>4</v>
      </c>
      <c r="B2" t="s">
        <v>5</v>
      </c>
      <c r="F2" t="s">
        <v>181</v>
      </c>
    </row>
    <row r="3" spans="1:6" x14ac:dyDescent="0.25">
      <c r="A3" s="1" t="s">
        <v>6</v>
      </c>
      <c r="B3" t="s">
        <v>7</v>
      </c>
    </row>
    <row r="4" spans="1:6" x14ac:dyDescent="0.25">
      <c r="A4" s="1" t="s">
        <v>8</v>
      </c>
      <c r="B4" t="s">
        <v>9</v>
      </c>
    </row>
    <row r="5" spans="1:6" x14ac:dyDescent="0.25">
      <c r="A5" s="1" t="s">
        <v>10</v>
      </c>
      <c r="B5" t="s">
        <v>11</v>
      </c>
      <c r="C5" t="s">
        <v>12</v>
      </c>
      <c r="E5" t="s">
        <v>262</v>
      </c>
      <c r="F5" t="s">
        <v>170</v>
      </c>
    </row>
    <row r="6" spans="1:6" x14ac:dyDescent="0.25">
      <c r="A6" s="1" t="s">
        <v>13</v>
      </c>
      <c r="B6" t="s">
        <v>14</v>
      </c>
      <c r="C6" t="s">
        <v>15</v>
      </c>
      <c r="E6" t="s">
        <v>248</v>
      </c>
      <c r="F6" t="s">
        <v>171</v>
      </c>
    </row>
    <row r="7" spans="1:6" x14ac:dyDescent="0.25">
      <c r="A7" s="1" t="s">
        <v>16</v>
      </c>
      <c r="B7" t="s">
        <v>17</v>
      </c>
      <c r="C7" t="s">
        <v>18</v>
      </c>
      <c r="E7" t="s">
        <v>249</v>
      </c>
    </row>
    <row r="8" spans="1:6" x14ac:dyDescent="0.25">
      <c r="A8" s="1" t="s">
        <v>20</v>
      </c>
      <c r="B8" t="s">
        <v>21</v>
      </c>
      <c r="C8" t="s">
        <v>19</v>
      </c>
      <c r="E8" t="s">
        <v>182</v>
      </c>
      <c r="F8" t="s">
        <v>241</v>
      </c>
    </row>
    <row r="9" spans="1:6" x14ac:dyDescent="0.25">
      <c r="A9" s="1" t="s">
        <v>245</v>
      </c>
      <c r="B9" t="s">
        <v>23</v>
      </c>
      <c r="C9" t="s">
        <v>24</v>
      </c>
      <c r="D9" s="2">
        <v>2</v>
      </c>
      <c r="E9" s="2"/>
    </row>
    <row r="10" spans="1:6" x14ac:dyDescent="0.25">
      <c r="A10" s="1" t="s">
        <v>132</v>
      </c>
      <c r="B10" t="s">
        <v>176</v>
      </c>
      <c r="C10" t="s">
        <v>19</v>
      </c>
      <c r="D10" t="s">
        <v>182</v>
      </c>
    </row>
    <row r="11" spans="1:6" x14ac:dyDescent="0.25">
      <c r="A11" s="1" t="s">
        <v>133</v>
      </c>
      <c r="B11" t="s">
        <v>177</v>
      </c>
      <c r="C11" t="s">
        <v>19</v>
      </c>
      <c r="D11" t="s">
        <v>182</v>
      </c>
    </row>
    <row r="12" spans="1:6" x14ac:dyDescent="0.25">
      <c r="A12" s="1" t="s">
        <v>174</v>
      </c>
      <c r="B12" t="s">
        <v>175</v>
      </c>
      <c r="C12" t="s">
        <v>19</v>
      </c>
      <c r="D12" t="s">
        <v>182</v>
      </c>
      <c r="F12" t="s">
        <v>240</v>
      </c>
    </row>
    <row r="13" spans="1:6" x14ac:dyDescent="0.25">
      <c r="A13" s="1" t="s">
        <v>178</v>
      </c>
      <c r="B13" t="s">
        <v>179</v>
      </c>
      <c r="C13" t="s">
        <v>19</v>
      </c>
      <c r="D13" t="s">
        <v>182</v>
      </c>
      <c r="E13" t="s">
        <v>22</v>
      </c>
    </row>
    <row r="14" spans="1:6" x14ac:dyDescent="0.25">
      <c r="A14" s="1" t="s">
        <v>164</v>
      </c>
      <c r="B14" t="s">
        <v>159</v>
      </c>
      <c r="C14" t="s">
        <v>19</v>
      </c>
      <c r="D14" t="s">
        <v>22</v>
      </c>
    </row>
    <row r="15" spans="1:6" x14ac:dyDescent="0.25">
      <c r="A15" s="1" t="s">
        <v>192</v>
      </c>
      <c r="B15" t="s">
        <v>193</v>
      </c>
      <c r="C15" t="s">
        <v>194</v>
      </c>
      <c r="E15">
        <f>1-SUM(E77:E86)</f>
        <v>0</v>
      </c>
    </row>
    <row r="16" spans="1:6" x14ac:dyDescent="0.25">
      <c r="A16" s="1" t="s">
        <v>195</v>
      </c>
      <c r="B16" t="s">
        <v>196</v>
      </c>
      <c r="C16" t="s">
        <v>197</v>
      </c>
      <c r="E16">
        <f>SUM(E62:E76)</f>
        <v>0.95599999999999996</v>
      </c>
    </row>
    <row r="18" spans="1:9" x14ac:dyDescent="0.25">
      <c r="A18" s="1" t="s">
        <v>0</v>
      </c>
      <c r="B18" s="1" t="s">
        <v>25</v>
      </c>
      <c r="C18" s="1" t="s">
        <v>26</v>
      </c>
      <c r="D18" s="1" t="s">
        <v>180</v>
      </c>
      <c r="E18" s="1" t="s">
        <v>3</v>
      </c>
    </row>
    <row r="19" spans="1:9" x14ac:dyDescent="0.25">
      <c r="A19" s="1" t="s">
        <v>69</v>
      </c>
      <c r="B19" t="s">
        <v>70</v>
      </c>
      <c r="C19" t="s">
        <v>71</v>
      </c>
      <c r="D19">
        <v>0</v>
      </c>
      <c r="E19">
        <v>19</v>
      </c>
      <c r="F19" t="s">
        <v>246</v>
      </c>
    </row>
    <row r="20" spans="1:9" x14ac:dyDescent="0.25">
      <c r="A20" s="1" t="s">
        <v>27</v>
      </c>
      <c r="B20" t="s">
        <v>28</v>
      </c>
      <c r="D20">
        <v>0.75</v>
      </c>
      <c r="E20">
        <v>0.74</v>
      </c>
    </row>
    <row r="21" spans="1:9" x14ac:dyDescent="0.25">
      <c r="A21" s="1" t="s">
        <v>29</v>
      </c>
      <c r="B21" t="s">
        <v>30</v>
      </c>
      <c r="D21">
        <v>0.75</v>
      </c>
    </row>
    <row r="22" spans="1:9" x14ac:dyDescent="0.25">
      <c r="A22" s="1" t="s">
        <v>226</v>
      </c>
      <c r="B22" t="s">
        <v>227</v>
      </c>
      <c r="D22">
        <v>-0.25</v>
      </c>
      <c r="F22" t="s">
        <v>229</v>
      </c>
    </row>
    <row r="23" spans="1:9" x14ac:dyDescent="0.25">
      <c r="A23" s="1" t="s">
        <v>31</v>
      </c>
      <c r="B23" t="s">
        <v>228</v>
      </c>
      <c r="D23">
        <v>-0.25</v>
      </c>
    </row>
    <row r="24" spans="1:9" x14ac:dyDescent="0.25">
      <c r="A24" s="1" t="s">
        <v>32</v>
      </c>
      <c r="B24" t="s">
        <v>33</v>
      </c>
      <c r="C24" t="s">
        <v>188</v>
      </c>
      <c r="D24">
        <v>0</v>
      </c>
      <c r="E24">
        <f>360/24</f>
        <v>15</v>
      </c>
      <c r="F24" t="s">
        <v>258</v>
      </c>
    </row>
    <row r="25" spans="1:9" x14ac:dyDescent="0.25">
      <c r="A25" s="1" t="s">
        <v>42</v>
      </c>
      <c r="B25" t="s">
        <v>43</v>
      </c>
      <c r="D25">
        <v>0</v>
      </c>
      <c r="F25" s="4">
        <v>25</v>
      </c>
      <c r="G25" s="4" t="s">
        <v>263</v>
      </c>
    </row>
    <row r="26" spans="1:9" x14ac:dyDescent="0.25">
      <c r="A26" s="1" t="s">
        <v>138</v>
      </c>
      <c r="B26" t="s">
        <v>44</v>
      </c>
      <c r="C26" t="s">
        <v>189</v>
      </c>
      <c r="D26">
        <v>0</v>
      </c>
      <c r="E26" s="3"/>
      <c r="F26" s="4">
        <v>8</v>
      </c>
      <c r="G26" s="4" t="s">
        <v>250</v>
      </c>
      <c r="H26" s="4"/>
      <c r="I26" s="4"/>
    </row>
    <row r="27" spans="1:9" x14ac:dyDescent="0.25">
      <c r="A27" s="1" t="s">
        <v>139</v>
      </c>
      <c r="B27" t="s">
        <v>45</v>
      </c>
      <c r="C27" t="s">
        <v>46</v>
      </c>
      <c r="D27">
        <v>1</v>
      </c>
      <c r="E27" s="3"/>
      <c r="F27" s="4">
        <f>30.6*EXP(-0.166*F$26)*(60/1000)*(F25^0.75)</f>
        <v>5.439821026844017</v>
      </c>
      <c r="G27" s="4" t="s">
        <v>267</v>
      </c>
      <c r="H27" s="4"/>
      <c r="I27" s="4"/>
    </row>
    <row r="28" spans="1:9" x14ac:dyDescent="0.25">
      <c r="A28" s="1" t="s">
        <v>47</v>
      </c>
      <c r="B28" t="s">
        <v>48</v>
      </c>
      <c r="C28" t="s">
        <v>190</v>
      </c>
      <c r="D28">
        <v>0</v>
      </c>
      <c r="F28" s="4">
        <f>F27/(F25^0.75)</f>
        <v>0.48655238405823736</v>
      </c>
      <c r="G28" s="4" t="s">
        <v>264</v>
      </c>
      <c r="H28" s="4"/>
      <c r="I28" s="4"/>
    </row>
    <row r="29" spans="1:9" x14ac:dyDescent="0.25">
      <c r="A29" s="1" t="s">
        <v>140</v>
      </c>
      <c r="B29" t="s">
        <v>49</v>
      </c>
      <c r="C29" t="s">
        <v>190</v>
      </c>
      <c r="D29">
        <v>0</v>
      </c>
      <c r="F29" s="4">
        <f>0.1 + 0.0222*F26</f>
        <v>0.27760000000000001</v>
      </c>
      <c r="G29" s="4" t="s">
        <v>251</v>
      </c>
      <c r="H29" s="4"/>
      <c r="I29" s="4"/>
    </row>
    <row r="30" spans="1:9" x14ac:dyDescent="0.25">
      <c r="A30" s="1" t="s">
        <v>141</v>
      </c>
      <c r="B30" t="s">
        <v>208</v>
      </c>
      <c r="C30" t="s">
        <v>36</v>
      </c>
      <c r="D30">
        <v>0</v>
      </c>
      <c r="F30" s="4">
        <f>0.9-0.0222*F26</f>
        <v>0.72240000000000004</v>
      </c>
      <c r="G30" s="4" t="s">
        <v>252</v>
      </c>
      <c r="H30" s="4"/>
      <c r="I30" s="4"/>
    </row>
    <row r="31" spans="1:9" x14ac:dyDescent="0.25">
      <c r="A31" s="1" t="s">
        <v>142</v>
      </c>
      <c r="B31" t="s">
        <v>50</v>
      </c>
      <c r="C31" t="s">
        <v>190</v>
      </c>
      <c r="D31">
        <v>0</v>
      </c>
    </row>
    <row r="32" spans="1:9" x14ac:dyDescent="0.25">
      <c r="A32" s="1" t="s">
        <v>51</v>
      </c>
      <c r="B32" t="s">
        <v>205</v>
      </c>
      <c r="C32" t="s">
        <v>36</v>
      </c>
      <c r="D32">
        <v>0</v>
      </c>
      <c r="F32" t="s">
        <v>239</v>
      </c>
    </row>
    <row r="33" spans="1:7" x14ac:dyDescent="0.25">
      <c r="A33" s="1" t="s">
        <v>52</v>
      </c>
      <c r="B33" t="s">
        <v>206</v>
      </c>
      <c r="C33" t="s">
        <v>36</v>
      </c>
      <c r="D33">
        <v>0</v>
      </c>
    </row>
    <row r="34" spans="1:7" x14ac:dyDescent="0.25">
      <c r="A34" s="1" t="s">
        <v>53</v>
      </c>
      <c r="B34" t="s">
        <v>207</v>
      </c>
      <c r="C34" t="s">
        <v>36</v>
      </c>
      <c r="D34">
        <v>0</v>
      </c>
    </row>
    <row r="35" spans="1:7" x14ac:dyDescent="0.25">
      <c r="A35" s="1" t="s">
        <v>54</v>
      </c>
      <c r="B35" t="s">
        <v>55</v>
      </c>
      <c r="C35" t="s">
        <v>36</v>
      </c>
      <c r="D35">
        <v>0</v>
      </c>
    </row>
    <row r="36" spans="1:7" x14ac:dyDescent="0.25">
      <c r="A36" s="1" t="s">
        <v>165</v>
      </c>
      <c r="B36" t="s">
        <v>166</v>
      </c>
      <c r="C36" t="s">
        <v>190</v>
      </c>
      <c r="D36">
        <v>0</v>
      </c>
      <c r="E36" s="4">
        <f>F28*F29</f>
        <v>0.13506694181456669</v>
      </c>
      <c r="F36" t="s">
        <v>235</v>
      </c>
    </row>
    <row r="37" spans="1:7" x14ac:dyDescent="0.25">
      <c r="A37" s="1" t="s">
        <v>56</v>
      </c>
      <c r="B37" t="s">
        <v>167</v>
      </c>
      <c r="C37" t="s">
        <v>190</v>
      </c>
      <c r="D37">
        <v>0</v>
      </c>
      <c r="F37">
        <f>E36*F$25^0.75</f>
        <v>1.5100943170518992</v>
      </c>
      <c r="G37" t="s">
        <v>265</v>
      </c>
    </row>
    <row r="38" spans="1:7" x14ac:dyDescent="0.25">
      <c r="A38" s="1" t="s">
        <v>237</v>
      </c>
      <c r="B38" t="s">
        <v>57</v>
      </c>
      <c r="C38" t="s">
        <v>46</v>
      </c>
      <c r="D38">
        <v>1</v>
      </c>
    </row>
    <row r="39" spans="1:7" x14ac:dyDescent="0.25">
      <c r="A39" s="1" t="s">
        <v>236</v>
      </c>
      <c r="B39" t="s">
        <v>58</v>
      </c>
      <c r="C39" t="s">
        <v>59</v>
      </c>
      <c r="D39">
        <v>0</v>
      </c>
    </row>
    <row r="40" spans="1:7" x14ac:dyDescent="0.25">
      <c r="A40" s="1" t="s">
        <v>238</v>
      </c>
      <c r="B40" t="s">
        <v>60</v>
      </c>
      <c r="C40" t="s">
        <v>36</v>
      </c>
      <c r="D40">
        <v>0</v>
      </c>
    </row>
    <row r="41" spans="1:7" x14ac:dyDescent="0.25">
      <c r="A41" s="1" t="s">
        <v>143</v>
      </c>
      <c r="B41" t="s">
        <v>61</v>
      </c>
      <c r="C41" t="s">
        <v>189</v>
      </c>
      <c r="D41">
        <v>0</v>
      </c>
      <c r="F41" t="s">
        <v>230</v>
      </c>
    </row>
    <row r="42" spans="1:7" x14ac:dyDescent="0.25">
      <c r="A42" s="1" t="s">
        <v>144</v>
      </c>
      <c r="B42" t="s">
        <v>62</v>
      </c>
      <c r="C42" t="s">
        <v>46</v>
      </c>
      <c r="D42">
        <v>1</v>
      </c>
    </row>
    <row r="43" spans="1:7" x14ac:dyDescent="0.25">
      <c r="A43" s="1" t="s">
        <v>145</v>
      </c>
      <c r="B43" t="s">
        <v>63</v>
      </c>
      <c r="C43" t="s">
        <v>244</v>
      </c>
      <c r="D43">
        <v>0</v>
      </c>
    </row>
    <row r="44" spans="1:7" x14ac:dyDescent="0.25">
      <c r="A44" s="1" t="s">
        <v>146</v>
      </c>
      <c r="B44" t="s">
        <v>64</v>
      </c>
      <c r="C44" t="s">
        <v>189</v>
      </c>
      <c r="D44">
        <v>0</v>
      </c>
      <c r="F44" t="s">
        <v>230</v>
      </c>
    </row>
    <row r="45" spans="1:7" x14ac:dyDescent="0.25">
      <c r="A45" s="1" t="s">
        <v>147</v>
      </c>
      <c r="B45" t="s">
        <v>65</v>
      </c>
      <c r="C45" t="s">
        <v>46</v>
      </c>
      <c r="D45">
        <v>1</v>
      </c>
    </row>
    <row r="46" spans="1:7" x14ac:dyDescent="0.25">
      <c r="A46" s="1" t="s">
        <v>203</v>
      </c>
      <c r="B46" t="s">
        <v>204</v>
      </c>
      <c r="C46" t="s">
        <v>244</v>
      </c>
      <c r="D46">
        <v>0</v>
      </c>
      <c r="E46" s="4"/>
      <c r="F46">
        <f>F27*F30</f>
        <v>3.929726709792118</v>
      </c>
      <c r="G46" t="s">
        <v>266</v>
      </c>
    </row>
    <row r="47" spans="1:7" x14ac:dyDescent="0.25">
      <c r="A47" s="1" t="s">
        <v>148</v>
      </c>
      <c r="B47" t="s">
        <v>66</v>
      </c>
      <c r="C47" t="s">
        <v>189</v>
      </c>
      <c r="D47">
        <v>0</v>
      </c>
      <c r="F47" t="s">
        <v>230</v>
      </c>
    </row>
    <row r="48" spans="1:7" x14ac:dyDescent="0.25">
      <c r="A48" s="1" t="s">
        <v>149</v>
      </c>
      <c r="B48" t="s">
        <v>67</v>
      </c>
      <c r="C48" t="s">
        <v>46</v>
      </c>
      <c r="D48">
        <v>1</v>
      </c>
    </row>
    <row r="49" spans="1:6" x14ac:dyDescent="0.25">
      <c r="A49" s="1" t="s">
        <v>150</v>
      </c>
      <c r="B49" t="s">
        <v>68</v>
      </c>
      <c r="C49" t="s">
        <v>244</v>
      </c>
      <c r="D49">
        <v>0</v>
      </c>
    </row>
    <row r="50" spans="1:6" x14ac:dyDescent="0.25">
      <c r="A50" s="1" t="s">
        <v>37</v>
      </c>
      <c r="B50" t="s">
        <v>38</v>
      </c>
      <c r="D50">
        <v>0</v>
      </c>
    </row>
    <row r="51" spans="1:6" x14ac:dyDescent="0.25">
      <c r="A51" s="1" t="s">
        <v>168</v>
      </c>
      <c r="B51" t="s">
        <v>169</v>
      </c>
      <c r="D51">
        <v>1</v>
      </c>
    </row>
    <row r="52" spans="1:6" x14ac:dyDescent="0.25">
      <c r="A52" s="1" t="s">
        <v>39</v>
      </c>
      <c r="B52" t="s">
        <v>40</v>
      </c>
      <c r="D52">
        <v>1</v>
      </c>
    </row>
    <row r="53" spans="1:6" x14ac:dyDescent="0.25">
      <c r="A53" s="1" t="s">
        <v>184</v>
      </c>
      <c r="B53" t="s">
        <v>183</v>
      </c>
      <c r="C53" t="s">
        <v>185</v>
      </c>
      <c r="D53">
        <v>0</v>
      </c>
    </row>
    <row r="54" spans="1:6" x14ac:dyDescent="0.25">
      <c r="A54" s="1" t="s">
        <v>160</v>
      </c>
      <c r="B54" t="s">
        <v>162</v>
      </c>
      <c r="C54" t="s">
        <v>191</v>
      </c>
      <c r="D54">
        <v>1</v>
      </c>
    </row>
    <row r="55" spans="1:6" x14ac:dyDescent="0.25">
      <c r="A55" s="1" t="s">
        <v>161</v>
      </c>
      <c r="B55" t="s">
        <v>163</v>
      </c>
      <c r="D55">
        <v>0</v>
      </c>
    </row>
    <row r="56" spans="1:6" x14ac:dyDescent="0.25">
      <c r="A56" s="1" t="s">
        <v>198</v>
      </c>
      <c r="B56" t="s">
        <v>199</v>
      </c>
      <c r="C56" t="s">
        <v>36</v>
      </c>
      <c r="D56">
        <v>0</v>
      </c>
    </row>
    <row r="57" spans="1:6" x14ac:dyDescent="0.25">
      <c r="A57" s="1" t="s">
        <v>200</v>
      </c>
      <c r="B57" t="s">
        <v>201</v>
      </c>
      <c r="C57" t="s">
        <v>202</v>
      </c>
      <c r="D57">
        <v>0</v>
      </c>
    </row>
    <row r="58" spans="1:6" x14ac:dyDescent="0.25">
      <c r="A58" s="1" t="s">
        <v>231</v>
      </c>
      <c r="B58" t="s">
        <v>232</v>
      </c>
      <c r="C58" t="s">
        <v>234</v>
      </c>
      <c r="D58">
        <v>0</v>
      </c>
      <c r="F58" t="s">
        <v>233</v>
      </c>
    </row>
    <row r="59" spans="1:6" x14ac:dyDescent="0.25">
      <c r="A59" s="1" t="s">
        <v>41</v>
      </c>
      <c r="B59" t="s">
        <v>242</v>
      </c>
      <c r="D59">
        <v>1</v>
      </c>
    </row>
    <row r="61" spans="1:6" x14ac:dyDescent="0.25">
      <c r="A61" s="1" t="s">
        <v>0</v>
      </c>
      <c r="B61" s="1" t="s">
        <v>120</v>
      </c>
      <c r="C61" s="1" t="s">
        <v>26</v>
      </c>
      <c r="D61" s="1" t="s">
        <v>180</v>
      </c>
      <c r="E61" s="1" t="s">
        <v>3</v>
      </c>
    </row>
    <row r="62" spans="1:6" x14ac:dyDescent="0.25">
      <c r="A62" s="1" t="s">
        <v>79</v>
      </c>
      <c r="B62" t="s">
        <v>80</v>
      </c>
      <c r="C62" t="s">
        <v>186</v>
      </c>
      <c r="D62">
        <v>1</v>
      </c>
      <c r="F62" t="s">
        <v>212</v>
      </c>
    </row>
    <row r="63" spans="1:6" x14ac:dyDescent="0.25">
      <c r="A63" s="1" t="s">
        <v>134</v>
      </c>
      <c r="B63" t="s">
        <v>135</v>
      </c>
      <c r="C63" t="s">
        <v>186</v>
      </c>
      <c r="D63">
        <v>1</v>
      </c>
      <c r="F63" t="s">
        <v>213</v>
      </c>
    </row>
    <row r="64" spans="1:6" x14ac:dyDescent="0.25">
      <c r="A64" s="1" t="s">
        <v>136</v>
      </c>
      <c r="B64" t="s">
        <v>137</v>
      </c>
      <c r="C64" t="s">
        <v>186</v>
      </c>
      <c r="D64">
        <v>1</v>
      </c>
      <c r="F64" t="s">
        <v>214</v>
      </c>
    </row>
    <row r="65" spans="1:6" x14ac:dyDescent="0.25">
      <c r="A65" s="1" t="s">
        <v>82</v>
      </c>
      <c r="B65" t="s">
        <v>81</v>
      </c>
      <c r="C65" t="s">
        <v>186</v>
      </c>
      <c r="D65">
        <v>1</v>
      </c>
      <c r="F65" t="s">
        <v>215</v>
      </c>
    </row>
    <row r="66" spans="1:6" x14ac:dyDescent="0.25">
      <c r="A66" s="1" t="s">
        <v>89</v>
      </c>
      <c r="B66" t="s">
        <v>209</v>
      </c>
      <c r="C66" t="s">
        <v>186</v>
      </c>
      <c r="D66">
        <v>1</v>
      </c>
      <c r="F66" t="s">
        <v>216</v>
      </c>
    </row>
    <row r="67" spans="1:6" x14ac:dyDescent="0.25">
      <c r="A67" s="1" t="s">
        <v>90</v>
      </c>
      <c r="B67" t="s">
        <v>83</v>
      </c>
      <c r="C67" t="s">
        <v>186</v>
      </c>
      <c r="D67">
        <v>1</v>
      </c>
      <c r="E67">
        <v>2.5999999999999999E-2</v>
      </c>
      <c r="F67" t="s">
        <v>217</v>
      </c>
    </row>
    <row r="68" spans="1:6" x14ac:dyDescent="0.25">
      <c r="A68" s="1" t="s">
        <v>91</v>
      </c>
      <c r="B68" t="s">
        <v>84</v>
      </c>
      <c r="C68" t="s">
        <v>186</v>
      </c>
      <c r="D68">
        <v>1</v>
      </c>
      <c r="E68">
        <v>4.0000000000000001E-3</v>
      </c>
      <c r="F68" t="s">
        <v>218</v>
      </c>
    </row>
    <row r="69" spans="1:6" x14ac:dyDescent="0.25">
      <c r="A69" s="1" t="s">
        <v>92</v>
      </c>
      <c r="B69" t="s">
        <v>85</v>
      </c>
      <c r="C69" t="s">
        <v>186</v>
      </c>
      <c r="D69">
        <v>1</v>
      </c>
      <c r="F69" t="s">
        <v>219</v>
      </c>
    </row>
    <row r="70" spans="1:6" x14ac:dyDescent="0.25">
      <c r="A70" s="1" t="s">
        <v>93</v>
      </c>
      <c r="B70" t="s">
        <v>255</v>
      </c>
      <c r="C70" t="s">
        <v>186</v>
      </c>
      <c r="D70">
        <v>1</v>
      </c>
      <c r="E70">
        <v>3.5999999999999997E-2</v>
      </c>
      <c r="F70" t="s">
        <v>259</v>
      </c>
    </row>
    <row r="71" spans="1:6" x14ac:dyDescent="0.25">
      <c r="A71" s="1" t="s">
        <v>94</v>
      </c>
      <c r="B71" t="s">
        <v>152</v>
      </c>
      <c r="C71" t="s">
        <v>186</v>
      </c>
      <c r="D71">
        <v>1</v>
      </c>
      <c r="F71" t="s">
        <v>220</v>
      </c>
    </row>
    <row r="72" spans="1:6" x14ac:dyDescent="0.25">
      <c r="A72" s="1" t="s">
        <v>95</v>
      </c>
      <c r="B72" t="s">
        <v>86</v>
      </c>
      <c r="C72" t="s">
        <v>186</v>
      </c>
      <c r="D72">
        <v>1</v>
      </c>
      <c r="F72" t="s">
        <v>221</v>
      </c>
    </row>
    <row r="73" spans="1:6" x14ac:dyDescent="0.25">
      <c r="A73" s="1" t="s">
        <v>96</v>
      </c>
      <c r="B73" t="s">
        <v>87</v>
      </c>
      <c r="C73" t="s">
        <v>186</v>
      </c>
      <c r="D73">
        <v>1</v>
      </c>
      <c r="F73" t="s">
        <v>222</v>
      </c>
    </row>
    <row r="74" spans="1:6" x14ac:dyDescent="0.25">
      <c r="A74" s="1" t="s">
        <v>97</v>
      </c>
      <c r="B74" t="s">
        <v>88</v>
      </c>
      <c r="C74" t="s">
        <v>186</v>
      </c>
      <c r="D74">
        <v>1</v>
      </c>
      <c r="F74" t="s">
        <v>223</v>
      </c>
    </row>
    <row r="75" spans="1:6" x14ac:dyDescent="0.25">
      <c r="A75" s="1" t="s">
        <v>98</v>
      </c>
      <c r="B75" t="s">
        <v>253</v>
      </c>
      <c r="C75" t="s">
        <v>186</v>
      </c>
      <c r="D75">
        <v>1</v>
      </c>
      <c r="E75">
        <v>7.0000000000000007E-2</v>
      </c>
      <c r="F75" t="s">
        <v>224</v>
      </c>
    </row>
    <row r="76" spans="1:6" x14ac:dyDescent="0.25">
      <c r="A76" s="1" t="s">
        <v>151</v>
      </c>
      <c r="B76" t="s">
        <v>254</v>
      </c>
      <c r="C76" t="s">
        <v>186</v>
      </c>
      <c r="D76">
        <v>1</v>
      </c>
      <c r="E76">
        <v>0.82</v>
      </c>
      <c r="F76" t="s">
        <v>225</v>
      </c>
    </row>
    <row r="77" spans="1:6" x14ac:dyDescent="0.25">
      <c r="A77" s="1" t="s">
        <v>104</v>
      </c>
      <c r="B77" t="s">
        <v>210</v>
      </c>
      <c r="C77" t="s">
        <v>185</v>
      </c>
      <c r="D77">
        <v>0</v>
      </c>
      <c r="F77" t="s">
        <v>216</v>
      </c>
    </row>
    <row r="78" spans="1:6" x14ac:dyDescent="0.25">
      <c r="A78" s="1" t="s">
        <v>105</v>
      </c>
      <c r="B78" t="s">
        <v>99</v>
      </c>
      <c r="C78" t="s">
        <v>185</v>
      </c>
      <c r="D78">
        <v>0</v>
      </c>
      <c r="E78">
        <v>0.24</v>
      </c>
      <c r="F78" t="s">
        <v>217</v>
      </c>
    </row>
    <row r="79" spans="1:6" x14ac:dyDescent="0.25">
      <c r="A79" s="1" t="s">
        <v>106</v>
      </c>
      <c r="B79" t="s">
        <v>100</v>
      </c>
      <c r="C79" t="s">
        <v>185</v>
      </c>
      <c r="D79">
        <v>0</v>
      </c>
      <c r="E79">
        <v>0.15</v>
      </c>
      <c r="F79" t="s">
        <v>218</v>
      </c>
    </row>
    <row r="80" spans="1:6" x14ac:dyDescent="0.25">
      <c r="A80" s="1" t="s">
        <v>107</v>
      </c>
      <c r="B80" t="s">
        <v>173</v>
      </c>
      <c r="C80" t="s">
        <v>185</v>
      </c>
      <c r="D80">
        <v>0</v>
      </c>
      <c r="E80">
        <v>0.36</v>
      </c>
      <c r="F80" t="s">
        <v>259</v>
      </c>
    </row>
    <row r="81" spans="1:10" x14ac:dyDescent="0.25">
      <c r="A81" s="1" t="s">
        <v>108</v>
      </c>
      <c r="B81" t="s">
        <v>155</v>
      </c>
      <c r="C81" t="s">
        <v>185</v>
      </c>
      <c r="D81">
        <v>0</v>
      </c>
      <c r="F81" t="s">
        <v>220</v>
      </c>
    </row>
    <row r="82" spans="1:10" x14ac:dyDescent="0.25">
      <c r="A82" s="1" t="s">
        <v>109</v>
      </c>
      <c r="B82" t="s">
        <v>101</v>
      </c>
      <c r="C82" t="s">
        <v>185</v>
      </c>
      <c r="D82">
        <v>0</v>
      </c>
      <c r="F82" t="s">
        <v>221</v>
      </c>
    </row>
    <row r="83" spans="1:10" x14ac:dyDescent="0.25">
      <c r="A83" s="1" t="s">
        <v>110</v>
      </c>
      <c r="B83" t="s">
        <v>102</v>
      </c>
      <c r="C83" t="s">
        <v>185</v>
      </c>
      <c r="D83">
        <v>0</v>
      </c>
      <c r="F83" t="s">
        <v>222</v>
      </c>
    </row>
    <row r="84" spans="1:10" x14ac:dyDescent="0.25">
      <c r="A84" s="1" t="s">
        <v>111</v>
      </c>
      <c r="B84" t="s">
        <v>103</v>
      </c>
      <c r="C84" t="s">
        <v>185</v>
      </c>
      <c r="D84">
        <v>0</v>
      </c>
      <c r="F84" t="s">
        <v>223</v>
      </c>
    </row>
    <row r="85" spans="1:10" x14ac:dyDescent="0.25">
      <c r="A85" s="1" t="s">
        <v>112</v>
      </c>
      <c r="B85" t="s">
        <v>257</v>
      </c>
      <c r="C85" t="s">
        <v>185</v>
      </c>
      <c r="D85">
        <v>0</v>
      </c>
      <c r="E85" s="6">
        <v>0.05</v>
      </c>
      <c r="F85" t="s">
        <v>260</v>
      </c>
      <c r="G85" s="6" t="s">
        <v>261</v>
      </c>
      <c r="H85" s="6"/>
      <c r="I85" s="6"/>
      <c r="J85" s="6"/>
    </row>
    <row r="86" spans="1:10" x14ac:dyDescent="0.25">
      <c r="A86" s="1" t="s">
        <v>153</v>
      </c>
      <c r="B86" t="s">
        <v>154</v>
      </c>
      <c r="C86" t="s">
        <v>185</v>
      </c>
      <c r="D86">
        <v>0</v>
      </c>
      <c r="E86" s="5">
        <f>1-SUM(E78:E85)</f>
        <v>0.19999999999999996</v>
      </c>
      <c r="F86" t="s">
        <v>225</v>
      </c>
      <c r="G86" s="5" t="s">
        <v>256</v>
      </c>
      <c r="H86" s="5"/>
    </row>
    <row r="87" spans="1:10" x14ac:dyDescent="0.25">
      <c r="A87" s="1" t="s">
        <v>121</v>
      </c>
      <c r="B87" t="s">
        <v>113</v>
      </c>
      <c r="D87">
        <v>1</v>
      </c>
      <c r="F87" t="s">
        <v>215</v>
      </c>
    </row>
    <row r="88" spans="1:10" x14ac:dyDescent="0.25">
      <c r="A88" s="1" t="s">
        <v>122</v>
      </c>
      <c r="B88" t="s">
        <v>211</v>
      </c>
      <c r="D88">
        <v>1</v>
      </c>
      <c r="F88" t="s">
        <v>216</v>
      </c>
    </row>
    <row r="89" spans="1:10" x14ac:dyDescent="0.25">
      <c r="A89" s="1" t="s">
        <v>123</v>
      </c>
      <c r="B89" t="s">
        <v>114</v>
      </c>
      <c r="D89">
        <v>1</v>
      </c>
      <c r="E89">
        <v>0.98</v>
      </c>
      <c r="F89" t="s">
        <v>217</v>
      </c>
    </row>
    <row r="90" spans="1:10" x14ac:dyDescent="0.25">
      <c r="A90" s="1" t="s">
        <v>124</v>
      </c>
      <c r="B90" t="s">
        <v>115</v>
      </c>
      <c r="D90">
        <v>1</v>
      </c>
      <c r="E90">
        <v>4.16</v>
      </c>
      <c r="F90" t="s">
        <v>218</v>
      </c>
    </row>
    <row r="91" spans="1:10" x14ac:dyDescent="0.25">
      <c r="A91" s="1" t="s">
        <v>125</v>
      </c>
      <c r="B91" t="s">
        <v>172</v>
      </c>
      <c r="D91">
        <v>1</v>
      </c>
      <c r="E91">
        <v>0.83</v>
      </c>
      <c r="F91" t="s">
        <v>259</v>
      </c>
    </row>
    <row r="92" spans="1:10" x14ac:dyDescent="0.25">
      <c r="A92" s="1" t="s">
        <v>126</v>
      </c>
      <c r="B92" t="s">
        <v>158</v>
      </c>
      <c r="D92">
        <v>1</v>
      </c>
      <c r="F92" t="s">
        <v>220</v>
      </c>
    </row>
    <row r="93" spans="1:10" x14ac:dyDescent="0.25">
      <c r="A93" s="1" t="s">
        <v>127</v>
      </c>
      <c r="B93" t="s">
        <v>116</v>
      </c>
      <c r="D93">
        <v>1</v>
      </c>
      <c r="F93" t="s">
        <v>221</v>
      </c>
    </row>
    <row r="94" spans="1:10" x14ac:dyDescent="0.25">
      <c r="A94" s="1" t="s">
        <v>128</v>
      </c>
      <c r="B94" t="s">
        <v>117</v>
      </c>
      <c r="D94">
        <v>1</v>
      </c>
      <c r="F94" t="s">
        <v>222</v>
      </c>
    </row>
    <row r="95" spans="1:10" x14ac:dyDescent="0.25">
      <c r="A95" s="1" t="s">
        <v>129</v>
      </c>
      <c r="B95" t="s">
        <v>118</v>
      </c>
      <c r="D95">
        <v>1</v>
      </c>
      <c r="F95" t="s">
        <v>223</v>
      </c>
    </row>
    <row r="96" spans="1:10" x14ac:dyDescent="0.25">
      <c r="A96" s="1" t="s">
        <v>130</v>
      </c>
      <c r="B96" t="s">
        <v>131</v>
      </c>
      <c r="D96">
        <v>1</v>
      </c>
      <c r="E96">
        <v>1000</v>
      </c>
      <c r="F96" t="s">
        <v>224</v>
      </c>
    </row>
    <row r="97" spans="1:6" x14ac:dyDescent="0.25">
      <c r="A97" s="1" t="s">
        <v>156</v>
      </c>
      <c r="B97" t="s">
        <v>157</v>
      </c>
      <c r="D97">
        <v>1</v>
      </c>
      <c r="E97">
        <v>0.63</v>
      </c>
      <c r="F97" t="s">
        <v>225</v>
      </c>
    </row>
    <row r="99" spans="1:6" x14ac:dyDescent="0.25">
      <c r="A99" s="1" t="s">
        <v>0</v>
      </c>
      <c r="B99" s="1" t="s">
        <v>243</v>
      </c>
      <c r="C99" s="1" t="s">
        <v>26</v>
      </c>
      <c r="D99" s="1" t="s">
        <v>180</v>
      </c>
      <c r="E99" s="1" t="s">
        <v>3</v>
      </c>
    </row>
    <row r="100" spans="1:6" x14ac:dyDescent="0.25">
      <c r="A100" s="1" t="s">
        <v>34</v>
      </c>
      <c r="B100" t="s">
        <v>35</v>
      </c>
    </row>
    <row r="102" spans="1:6" x14ac:dyDescent="0.25">
      <c r="A102" s="1" t="s">
        <v>0</v>
      </c>
      <c r="B102" s="1" t="s">
        <v>72</v>
      </c>
      <c r="C102" s="1" t="s">
        <v>3</v>
      </c>
      <c r="D102" s="1"/>
      <c r="E102" s="1" t="s">
        <v>187</v>
      </c>
    </row>
    <row r="103" spans="1:6" x14ac:dyDescent="0.25">
      <c r="A103" s="1" t="s">
        <v>73</v>
      </c>
      <c r="B103" t="s">
        <v>74</v>
      </c>
    </row>
    <row r="104" spans="1:6" x14ac:dyDescent="0.25">
      <c r="A104" s="1" t="s">
        <v>75</v>
      </c>
      <c r="B104" t="s">
        <v>76</v>
      </c>
    </row>
    <row r="105" spans="1:6" x14ac:dyDescent="0.25">
      <c r="A105" s="1" t="s">
        <v>77</v>
      </c>
      <c r="B105" t="s">
        <v>78</v>
      </c>
    </row>
  </sheetData>
  <conditionalFormatting sqref="E15">
    <cfRule type="cellIs" dxfId="5" priority="4" operator="greaterThan">
      <formula>0</formula>
    </cfRule>
    <cfRule type="cellIs" dxfId="4" priority="5" operator="lessThan">
      <formula>0</formula>
    </cfRule>
    <cfRule type="cellIs" dxfId="3" priority="6" operator="equal">
      <formula>0</formula>
    </cfRule>
  </conditionalFormatting>
  <conditionalFormatting sqref="E16">
    <cfRule type="cellIs" dxfId="2" priority="1" operator="lessThan">
      <formula>0.8</formula>
    </cfRule>
    <cfRule type="cellIs" dxfId="1" priority="2" operator="greaterThan">
      <formula>1.2</formula>
    </cfRule>
    <cfRule type="cellIs" dxfId="0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90A172F1-773B-43BF-8B86-8CD1537A96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2ba80736-48fa-4d73-aaff-bacaeeed013a"/>
    <ds:schemaRef ds:uri="41d9f072-86bf-4c63-b117-debf50ff4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  <ds:schemaRef ds:uri="2ba80736-48fa-4d73-aaff-bacaeeed013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Human4yo</vt:lpstr>
      <vt:lpstr>Human8yo</vt:lpstr>
      <vt:lpstr>Human4yo!age</vt:lpstr>
      <vt:lpstr>Human4yo!BH</vt:lpstr>
      <vt:lpstr>Human4yo!BW</vt:lpstr>
      <vt:lpstr>Human8yo!BW</vt:lpstr>
      <vt:lpstr>Human4yo!CLp</vt:lpstr>
      <vt:lpstr>PC</vt:lpstr>
      <vt:lpstr>Human4yo!Qct</vt:lpstr>
      <vt:lpstr>Human4yo!surface</vt:lpstr>
      <vt:lpstr>Human4yo!Vtf</vt:lpstr>
      <vt:lpstr>Vtf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Schlosser, Paul</cp:lastModifiedBy>
  <dcterms:created xsi:type="dcterms:W3CDTF">2020-10-14T17:32:53Z</dcterms:created>
  <dcterms:modified xsi:type="dcterms:W3CDTF">2026-03-05T19:31:27Z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EPA Subject">
    <vt:lpwstr/>
  </property>
  <property fmtid="{D5CDD505-2E9C-101B-9397-08002B2CF9AE}" pid="7" name="EPA_x0020_Subject">
    <vt:lpwstr/>
  </property>
</Properties>
</file>