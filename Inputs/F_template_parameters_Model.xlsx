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88" documentId="8_{7F8D94C6-EC2B-4A79-A22A-AD1B7807B962}" xr6:coauthVersionLast="47" xr6:coauthVersionMax="47" xr10:uidLastSave="{B4DBCB10-2B19-4233-AED1-500595C89476}"/>
  <bookViews>
    <workbookView xWindow="1005" yWindow="0" windowWidth="23325" windowHeight="14910" activeTab="1" xr2:uid="{089E7848-11EB-427A-89EA-83825F220BA0}"/>
  </bookViews>
  <sheets>
    <sheet name="Human4yo" sheetId="9" r:id="rId1"/>
    <sheet name="Human8y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6" i="10" l="1"/>
  <c r="F30" i="10"/>
  <c r="F29" i="10"/>
  <c r="F27" i="10"/>
  <c r="F28" i="10" s="1"/>
  <c r="E24" i="10"/>
  <c r="E16" i="10"/>
  <c r="E15" i="10"/>
  <c r="E86" i="9"/>
  <c r="E15" i="9" s="1"/>
  <c r="E24" i="9"/>
  <c r="E46" i="9"/>
  <c r="E36" i="9"/>
  <c r="F30" i="9"/>
  <c r="F29" i="9"/>
  <c r="F28" i="9"/>
  <c r="F27" i="9"/>
  <c r="E16" i="9"/>
  <c r="E36" i="10" l="1"/>
  <c r="E46" i="10"/>
</calcChain>
</file>

<file path=xl/sharedStrings.xml><?xml version="1.0" encoding="utf-8"?>
<sst xmlns="http://schemas.openxmlformats.org/spreadsheetml/2006/main" count="704" uniqueCount="265">
  <si>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</si>
  <si>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</si>
  <si>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</si>
  <si>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</si>
  <si>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</si>
  <si>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</si>
  <si>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</si>
  <si>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</si>
  <si>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</si>
  <si>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</si>
  <si>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</si>
  <si>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</si>
  <si>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</si>
  <si>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</si>
  <si>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</si>
  <si>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</si>
  <si>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</si>
  <si>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</si>
  <si>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</si>
  <si>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</si>
  <si>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</si>
  <si>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</si>
  <si>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</si>
  <si>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</si>
  <si>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</si>
  <si>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</si>
  <si>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</si>
  <si>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</si>
  <si>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</si>
  <si>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</si>
  <si>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</si>
  <si>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</si>
  <si>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</si>
  <si>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</si>
  <si>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</si>
  <si>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</si>
  <si>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</si>
  <si>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</si>
  <si>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</si>
  <si>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</si>
  <si>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</si>
  <si>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</si>
  <si>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</si>
  <si>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</si>
  <si>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</si>
  <si>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</si>
  <si>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</si>
  <si>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</si>
  <si>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</si>
  <si>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</si>
  <si>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</si>
  <si>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</si>
  <si>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</si>
  <si>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</si>
  <si>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</si>
  <si>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</si>
  <si>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</si>
  <si>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</si>
  <si>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</si>
  <si>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</si>
  <si>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</si>
  <si>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</si>
  <si>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</si>
  <si>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</si>
  <si>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</si>
  <si>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</si>
  <si>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</si>
  <si>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</si>
  <si>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</si>
  <si>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</si>
  <si>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</si>
  <si>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</si>
  <si>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</si>
  <si>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</si>
  <si>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</si>
  <si>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</si>
  <si>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</si>
  <si>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</si>
  <si>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</si>
  <si>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</si>
  <si>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</si>
  <si>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</si>
  <si>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</si>
  <si>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</si>
  <si>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</si>
  <si>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</si>
  <si>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</si>
  <si>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</si>
  <si>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</si>
  <si>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</si>
  <si>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</si>
  <si>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</si>
  <si>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</si>
  <si>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</si>
  <si>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</si>
  <si>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</si>
  <si>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</si>
  <si>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</si>
  <si>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</si>
  <si>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</si>
  <si>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</si>
  <si>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</si>
  <si>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</si>
  <si>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</si>
  <si>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</si>
  <si>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</si>
  <si>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</si>
  <si>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</si>
  <si>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</si>
  <si>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</si>
  <si>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</si>
  <si>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</si>
  <si>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</si>
  <si>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</si>
  <si>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</si>
  <si>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</si>
  <si>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</si>
  <si>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</si>
  <si>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</si>
  <si>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</si>
  <si>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</si>
  <si>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</si>
  <si>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</si>
  <si>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</si>
  <si>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</si>
  <si>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</si>
  <si>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</si>
  <si>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</si>
  <si>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</si>
  <si>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</si>
  <si>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</si>
  <si>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</si>
  <si>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</si>
  <si>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</si>
  <si>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</si>
  <si>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</si>
  <si>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</si>
  <si>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</si>
  <si>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</si>
  <si>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</si>
  <si>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</si>
  <si>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</si>
  <si>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</si>
  <si>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</si>
  <si>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</si>
  <si>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</si>
  <si>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</si>
  <si>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</si>
  <si>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</si>
  <si>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</si>
  <si>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</si>
  <si>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</si>
  <si>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</si>
  <si>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</si>
  <si>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</si>
  <si>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</si>
  <si>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</si>
  <si>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</si>
  <si>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</si>
  <si>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</si>
  <si>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</si>
  <si>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</si>
  <si>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</si>
  <si>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</si>
  <si>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</si>
  <si>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</si>
  <si>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</si>
  <si>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</si>
  <si>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</si>
  <si>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</si>
  <si>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</si>
  <si>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</si>
  <si>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</si>
  <si>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</si>
  <si>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</si>
  <si>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</si>
  <si>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</si>
  <si>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</si>
  <si>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</si>
  <si>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</si>
  <si>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</si>
  <si>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</si>
  <si>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</si>
  <si>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</si>
  <si>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</si>
  <si>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</si>
  <si>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</si>
  <si>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</si>
  <si>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</si>
  <si>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</si>
  <si>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</si>
  <si>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</si>
  <si>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</si>
  <si>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</si>
  <si>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</si>
  <si>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</si>
  <si>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</si>
  <si>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</si>
  <si>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</si>
  <si>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</si>
  <si>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</si>
  <si>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</si>
  <si>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</si>
  <si>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</si>
  <si>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</si>
  <si>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</si>
  <si>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</si>
  <si>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</si>
  <si>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</si>
  <si>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</si>
  <si>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</si>
  <si>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</si>
  <si>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</si>
  <si>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</si>
  <si>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</si>
  <si>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</si>
  <si>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</si>
  <si>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</si>
  <si>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</si>
  <si>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</si>
  <si>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</si>
  <si>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</si>
  <si>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</si>
  <si>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</si>
  <si>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</si>
  <si>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</si>
  <si>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</si>
  <si>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</si>
  <si>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</si>
  <si>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</si>
  <si>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</si>
  <si>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</si>
  <si>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</si>
  <si>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</si>
  <si>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</si>
  <si>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</si>
  <si>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</si>
  <si>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</si>
  <si>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</si>
  <si>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</si>
  <si>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</si>
  <si>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</si>
  <si>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</si>
  <si>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</si>
  <si>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</si>
  <si>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</si>
  <si>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</si>
  <si>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</si>
  <si>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</si>
  <si>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</si>
  <si>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Total plasma CL (L/h ~ kg/h; adult, Rao 1996)</t>
  </si>
  <si>
    <t>age (years)</t>
  </si>
  <si>
    <t>Fraction urinary clearance</t>
  </si>
  <si>
    <t>(kg^0.25/h), " scaled to 70^0.75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</si>
  <si>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</si>
  <si>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</si>
  <si>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</si>
  <si>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</si>
  <si>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</si>
  <si>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</si>
  <si>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</si>
  <si>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</si>
  <si>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</si>
  <si>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0.05 for children, 0.03 for adults</t>
  </si>
  <si>
    <t>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</si>
</sst>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J105"/>
  <sheetViews>
    <sheetView topLeftCell="A13" zoomScaleNormal="100" workbookViewId="0">
      <selection activeCell="E21" sqref="E21"/>
    </sheetView>
  </sheetViews>
  <sheetFormatPr defaultRowHeight="14.35" x14ac:dyDescent="0.5"/>
  <cols>
    <col min="1" max="1" width="15.29296875" style="1" bestFit="1" customWidth="1"/>
    <col min="2" max="2" width="51" bestFit="1" customWidth="1"/>
    <col min="3" max="3" width="20.41015625" bestFit="1" customWidth="1"/>
    <col min="4" max="4" width="13.1171875" customWidth="1"/>
    <col min="5" max="5" width="22.29296875" bestFit="1" customWidth="1"/>
    <col min="6" max="6" width="19.29296875" bestFit="1" customWidth="1"/>
    <col min="7" max="7" width="12.41015625" bestFit="1" customWidth="1"/>
    <col min="8" max="8" width="17.5859375" bestFit="1" customWidth="1"/>
    <col min="9" max="9" width="6" bestFit="1" customWidth="1"/>
    <col min="10" max="10" width="13.5859375" customWidth="1"/>
  </cols>
  <sheetData>
    <row r="1" spans="1:6" x14ac:dyDescent="0.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5">
      <c r="A2" s="1" t="s">
        <v>4</v>
      </c>
      <c r="B2" t="s">
        <v>5</v>
      </c>
      <c r="F2" t="s">
        <v>181</v>
      </c>
    </row>
    <row r="3" spans="1:6" x14ac:dyDescent="0.5">
      <c r="A3" s="1" t="s">
        <v>6</v>
      </c>
      <c r="B3" t="s">
        <v>7</v>
      </c>
    </row>
    <row r="4" spans="1:6" x14ac:dyDescent="0.5">
      <c r="A4" s="1" t="s">
        <v>8</v>
      </c>
      <c r="B4" t="s">
        <v>9</v>
      </c>
    </row>
    <row r="5" spans="1:6" x14ac:dyDescent="0.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5">
      <c r="A7" s="1" t="s">
        <v>16</v>
      </c>
      <c r="B7" t="s">
        <v>17</v>
      </c>
      <c r="C7" t="s">
        <v>18</v>
      </c>
      <c r="E7" t="s">
        <v>249</v>
      </c>
    </row>
    <row r="8" spans="1:6" x14ac:dyDescent="0.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5">
      <c r="A16" s="1" t="s">
        <v>195</v>
      </c>
      <c r="B16" t="s">
        <v>196</v>
      </c>
      <c r="C16" t="s">
        <v>197</v>
      </c>
      <c r="E16">
        <f>SUM(E62:E76)</f>
        <v>0.96</v>
      </c>
    </row>
    <row r="18" spans="1:10" x14ac:dyDescent="0.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5">
      <c r="A20" s="1" t="s">
        <v>27</v>
      </c>
      <c r="B20" t="s">
        <v>28</v>
      </c>
      <c r="D20">
        <v>0.75</v>
      </c>
      <c r="E20">
        <v>0.74</v>
      </c>
    </row>
    <row r="21" spans="1:10" x14ac:dyDescent="0.5">
      <c r="A21" s="1" t="s">
        <v>29</v>
      </c>
      <c r="B21" t="s">
        <v>30</v>
      </c>
      <c r="D21">
        <v>0.75</v>
      </c>
    </row>
    <row r="22" spans="1:10" x14ac:dyDescent="0.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5">
      <c r="A23" s="1" t="s">
        <v>31</v>
      </c>
      <c r="B23" t="s">
        <v>228</v>
      </c>
      <c r="D23">
        <v>-0.25</v>
      </c>
    </row>
    <row r="24" spans="1:10" x14ac:dyDescent="0.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260</v>
      </c>
    </row>
    <row r="25" spans="1:10" x14ac:dyDescent="0.5">
      <c r="A25" s="1" t="s">
        <v>42</v>
      </c>
      <c r="B25" t="s">
        <v>43</v>
      </c>
      <c r="D25">
        <v>0</v>
      </c>
    </row>
    <row r="26" spans="1:10" x14ac:dyDescent="0.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251</v>
      </c>
      <c r="H26" s="4"/>
      <c r="I26" s="4"/>
      <c r="J26" s="4"/>
    </row>
    <row r="27" spans="1:10" x14ac:dyDescent="0.5">
      <c r="A27" s="1" t="s">
        <v>139</v>
      </c>
      <c r="B27" t="s">
        <v>45</v>
      </c>
      <c r="C27" t="s">
        <v>46</v>
      </c>
      <c r="D27">
        <v>1</v>
      </c>
      <c r="E27" s="3"/>
      <c r="F27" s="4">
        <f>2.9*60/1000</f>
        <v>0.17399999999999999</v>
      </c>
      <c r="G27" s="4" t="s">
        <v>250</v>
      </c>
      <c r="H27" s="4"/>
      <c r="I27" s="4"/>
      <c r="J27" s="4"/>
    </row>
    <row r="28" spans="1:10" x14ac:dyDescent="0.5">
      <c r="A28" s="1" t="s">
        <v>47</v>
      </c>
      <c r="B28" t="s">
        <v>48</v>
      </c>
      <c r="C28" t="s">
        <v>190</v>
      </c>
      <c r="D28">
        <v>0</v>
      </c>
      <c r="F28" s="4">
        <f>F27/(70^0.75)</f>
        <v>7.1899474840331325E-3</v>
      </c>
      <c r="G28" s="4" t="s">
        <v>253</v>
      </c>
      <c r="H28" s="4"/>
      <c r="I28" s="4"/>
      <c r="J28" s="4"/>
    </row>
    <row r="29" spans="1:10" x14ac:dyDescent="0.5">
      <c r="A29" s="1" t="s">
        <v>140</v>
      </c>
      <c r="B29" t="s">
        <v>49</v>
      </c>
      <c r="C29" t="s">
        <v>190</v>
      </c>
      <c r="D29">
        <v>0</v>
      </c>
      <c r="F29" s="4">
        <f>0.1 + 0.4*F26/18</f>
        <v>0.18888888888888888</v>
      </c>
      <c r="G29" s="4" t="s">
        <v>252</v>
      </c>
      <c r="H29" s="4"/>
      <c r="I29" s="4"/>
      <c r="J29" s="4"/>
    </row>
    <row r="30" spans="1:10" x14ac:dyDescent="0.5">
      <c r="A30" s="1" t="s">
        <v>141</v>
      </c>
      <c r="B30" t="s">
        <v>208</v>
      </c>
      <c r="C30" t="s">
        <v>36</v>
      </c>
      <c r="D30">
        <v>0</v>
      </c>
      <c r="F30" s="4">
        <f>0.9-0.4*F26/18</f>
        <v>0.81111111111111112</v>
      </c>
      <c r="G30" s="4" t="s">
        <v>254</v>
      </c>
      <c r="H30" s="4"/>
      <c r="I30" s="4"/>
      <c r="J30" s="4"/>
    </row>
    <row r="31" spans="1:10" x14ac:dyDescent="0.5">
      <c r="A31" s="1" t="s">
        <v>142</v>
      </c>
      <c r="B31" t="s">
        <v>50</v>
      </c>
      <c r="C31" t="s">
        <v>190</v>
      </c>
      <c r="D31">
        <v>0</v>
      </c>
    </row>
    <row r="32" spans="1:10" x14ac:dyDescent="0.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6" x14ac:dyDescent="0.5">
      <c r="A33" s="1" t="s">
        <v>52</v>
      </c>
      <c r="B33" t="s">
        <v>206</v>
      </c>
      <c r="C33" t="s">
        <v>36</v>
      </c>
      <c r="D33">
        <v>0</v>
      </c>
    </row>
    <row r="34" spans="1:6" x14ac:dyDescent="0.5">
      <c r="A34" s="1" t="s">
        <v>53</v>
      </c>
      <c r="B34" t="s">
        <v>207</v>
      </c>
      <c r="C34" t="s">
        <v>36</v>
      </c>
      <c r="D34">
        <v>0</v>
      </c>
    </row>
    <row r="35" spans="1:6" x14ac:dyDescent="0.5">
      <c r="A35" s="1" t="s">
        <v>54</v>
      </c>
      <c r="B35" t="s">
        <v>55</v>
      </c>
      <c r="C35" t="s">
        <v>36</v>
      </c>
      <c r="D35">
        <v>0</v>
      </c>
    </row>
    <row r="36" spans="1:6" x14ac:dyDescent="0.5">
      <c r="A36" s="1" t="s">
        <v>165</v>
      </c>
      <c r="B36" t="s">
        <v>166</v>
      </c>
      <c r="C36" t="s">
        <v>190</v>
      </c>
      <c r="D36">
        <v>0</v>
      </c>
      <c r="E36" s="4">
        <f>F28*F29</f>
        <v>1.3581011914284805E-3</v>
      </c>
      <c r="F36" t="s">
        <v>235</v>
      </c>
    </row>
    <row r="37" spans="1:6" x14ac:dyDescent="0.5">
      <c r="A37" s="1" t="s">
        <v>56</v>
      </c>
      <c r="B37" t="s">
        <v>167</v>
      </c>
      <c r="C37" t="s">
        <v>190</v>
      </c>
      <c r="D37">
        <v>0</v>
      </c>
    </row>
    <row r="38" spans="1:6" x14ac:dyDescent="0.5">
      <c r="A38" s="1" t="s">
        <v>237</v>
      </c>
      <c r="B38" t="s">
        <v>57</v>
      </c>
      <c r="C38" t="s">
        <v>46</v>
      </c>
      <c r="D38">
        <v>1</v>
      </c>
    </row>
    <row r="39" spans="1:6" x14ac:dyDescent="0.5">
      <c r="A39" s="1" t="s">
        <v>236</v>
      </c>
      <c r="B39" t="s">
        <v>58</v>
      </c>
      <c r="C39" t="s">
        <v>59</v>
      </c>
      <c r="D39">
        <v>0</v>
      </c>
    </row>
    <row r="40" spans="1:6" x14ac:dyDescent="0.5">
      <c r="A40" s="1" t="s">
        <v>238</v>
      </c>
      <c r="B40" t="s">
        <v>60</v>
      </c>
      <c r="C40" t="s">
        <v>36</v>
      </c>
      <c r="D40">
        <v>0</v>
      </c>
    </row>
    <row r="41" spans="1:6" x14ac:dyDescent="0.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6" x14ac:dyDescent="0.5">
      <c r="A42" s="1" t="s">
        <v>144</v>
      </c>
      <c r="B42" t="s">
        <v>62</v>
      </c>
      <c r="C42" t="s">
        <v>46</v>
      </c>
      <c r="D42">
        <v>1</v>
      </c>
    </row>
    <row r="43" spans="1:6" x14ac:dyDescent="0.5">
      <c r="A43" s="1" t="s">
        <v>145</v>
      </c>
      <c r="B43" t="s">
        <v>63</v>
      </c>
      <c r="C43" t="s">
        <v>244</v>
      </c>
      <c r="D43">
        <v>0</v>
      </c>
    </row>
    <row r="44" spans="1:6" x14ac:dyDescent="0.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6" x14ac:dyDescent="0.5">
      <c r="A45" s="1" t="s">
        <v>147</v>
      </c>
      <c r="B45" t="s">
        <v>65</v>
      </c>
      <c r="C45" t="s">
        <v>46</v>
      </c>
      <c r="D45">
        <v>1</v>
      </c>
    </row>
    <row r="46" spans="1:6" x14ac:dyDescent="0.5">
      <c r="A46" s="1" t="s">
        <v>203</v>
      </c>
      <c r="B46" t="s">
        <v>204</v>
      </c>
      <c r="C46" t="s">
        <v>244</v>
      </c>
      <c r="D46">
        <v>0</v>
      </c>
      <c r="E46" s="4">
        <f>F28*F30/E75</f>
        <v>8.3312089894352168E-2</v>
      </c>
    </row>
    <row r="47" spans="1:6" x14ac:dyDescent="0.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6" x14ac:dyDescent="0.5">
      <c r="A48" s="1" t="s">
        <v>149</v>
      </c>
      <c r="B48" t="s">
        <v>67</v>
      </c>
      <c r="C48" t="s">
        <v>46</v>
      </c>
      <c r="D48">
        <v>1</v>
      </c>
    </row>
    <row r="49" spans="1:6" x14ac:dyDescent="0.5">
      <c r="A49" s="1" t="s">
        <v>150</v>
      </c>
      <c r="B49" t="s">
        <v>68</v>
      </c>
      <c r="C49" t="s">
        <v>244</v>
      </c>
      <c r="D49">
        <v>0</v>
      </c>
    </row>
    <row r="50" spans="1:6" x14ac:dyDescent="0.5">
      <c r="A50" s="1" t="s">
        <v>37</v>
      </c>
      <c r="B50" t="s">
        <v>38</v>
      </c>
      <c r="D50">
        <v>0</v>
      </c>
    </row>
    <row r="51" spans="1:6" x14ac:dyDescent="0.5">
      <c r="A51" s="1" t="s">
        <v>168</v>
      </c>
      <c r="B51" t="s">
        <v>169</v>
      </c>
      <c r="D51">
        <v>1</v>
      </c>
    </row>
    <row r="52" spans="1:6" x14ac:dyDescent="0.5">
      <c r="A52" s="1" t="s">
        <v>39</v>
      </c>
      <c r="B52" t="s">
        <v>40</v>
      </c>
      <c r="D52">
        <v>1</v>
      </c>
    </row>
    <row r="53" spans="1:6" x14ac:dyDescent="0.5">
      <c r="A53" s="1" t="s">
        <v>184</v>
      </c>
      <c r="B53" t="s">
        <v>183</v>
      </c>
      <c r="C53" t="s">
        <v>185</v>
      </c>
      <c r="D53">
        <v>0</v>
      </c>
    </row>
    <row r="54" spans="1:6" x14ac:dyDescent="0.5">
      <c r="A54" s="1" t="s">
        <v>160</v>
      </c>
      <c r="B54" t="s">
        <v>162</v>
      </c>
      <c r="C54" t="s">
        <v>191</v>
      </c>
      <c r="D54">
        <v>1</v>
      </c>
    </row>
    <row r="55" spans="1:6" x14ac:dyDescent="0.5">
      <c r="A55" s="1" t="s">
        <v>161</v>
      </c>
      <c r="B55" t="s">
        <v>163</v>
      </c>
      <c r="D55">
        <v>0</v>
      </c>
    </row>
    <row r="56" spans="1:6" x14ac:dyDescent="0.5">
      <c r="A56" s="1" t="s">
        <v>198</v>
      </c>
      <c r="B56" t="s">
        <v>199</v>
      </c>
      <c r="C56" t="s">
        <v>36</v>
      </c>
      <c r="D56">
        <v>0</v>
      </c>
    </row>
    <row r="57" spans="1:6" x14ac:dyDescent="0.5">
      <c r="A57" s="1" t="s">
        <v>200</v>
      </c>
      <c r="B57" t="s">
        <v>201</v>
      </c>
      <c r="C57" t="s">
        <v>202</v>
      </c>
      <c r="D57">
        <v>0</v>
      </c>
    </row>
    <row r="58" spans="1:6" x14ac:dyDescent="0.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5">
      <c r="A59" s="1" t="s">
        <v>41</v>
      </c>
      <c r="B59" t="s">
        <v>242</v>
      </c>
      <c r="D59">
        <v>1</v>
      </c>
    </row>
    <row r="61" spans="1:6" x14ac:dyDescent="0.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5">
      <c r="A67" s="1" t="s">
        <v>90</v>
      </c>
      <c r="B67" t="s">
        <v>83</v>
      </c>
      <c r="C67" t="s">
        <v>186</v>
      </c>
      <c r="D67">
        <v>1</v>
      </c>
      <c r="E67">
        <v>0.03</v>
      </c>
      <c r="F67" t="s">
        <v>217</v>
      </c>
    </row>
    <row r="68" spans="1:6" x14ac:dyDescent="0.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5">
      <c r="A70" s="1" t="s">
        <v>93</v>
      </c>
      <c r="B70" t="s">
        <v>257</v>
      </c>
      <c r="C70" t="s">
        <v>186</v>
      </c>
      <c r="D70">
        <v>1</v>
      </c>
      <c r="E70">
        <v>3.5999999999999997E-2</v>
      </c>
      <c r="F70" t="s">
        <v>261</v>
      </c>
    </row>
    <row r="71" spans="1:6" x14ac:dyDescent="0.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5">
      <c r="A75" s="1" t="s">
        <v>98</v>
      </c>
      <c r="B75" t="s">
        <v>255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5">
      <c r="A76" s="1" t="s">
        <v>151</v>
      </c>
      <c r="B76" t="s">
        <v>256</v>
      </c>
      <c r="C76" t="s">
        <v>186</v>
      </c>
      <c r="D76">
        <v>1</v>
      </c>
      <c r="E76">
        <v>0.82</v>
      </c>
      <c r="F76" t="s">
        <v>225</v>
      </c>
    </row>
    <row r="77" spans="1:6" x14ac:dyDescent="0.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261</v>
      </c>
    </row>
    <row r="81" spans="1:10" x14ac:dyDescent="0.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5">
      <c r="A85" s="1" t="s">
        <v>112</v>
      </c>
      <c r="B85" t="s">
        <v>259</v>
      </c>
      <c r="C85" t="s">
        <v>185</v>
      </c>
      <c r="D85">
        <v>0</v>
      </c>
      <c r="E85" s="6">
        <v>0.05</v>
      </c>
      <c r="F85" t="s">
        <v>262</v>
      </c>
      <c r="G85" s="6" t="s">
        <v>263</v>
      </c>
      <c r="H85" s="6"/>
      <c r="I85" s="6"/>
      <c r="J85" s="6"/>
    </row>
    <row r="86" spans="1:10" x14ac:dyDescent="0.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258</v>
      </c>
      <c r="H86" s="5"/>
    </row>
    <row r="87" spans="1:10" x14ac:dyDescent="0.5">
      <c r="A87" s="1" t="s">
        <v>121</v>
      </c>
      <c r="B87" t="s">
        <v>113</v>
      </c>
      <c r="D87">
        <v>1</v>
      </c>
      <c r="F87" t="s">
        <v>215</v>
      </c>
    </row>
    <row r="88" spans="1:10" x14ac:dyDescent="0.5">
      <c r="A88" s="1" t="s">
        <v>122</v>
      </c>
      <c r="B88" t="s">
        <v>211</v>
      </c>
      <c r="D88">
        <v>1</v>
      </c>
      <c r="F88" t="s">
        <v>216</v>
      </c>
    </row>
    <row r="89" spans="1:10" x14ac:dyDescent="0.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5">
      <c r="A91" s="1" t="s">
        <v>125</v>
      </c>
      <c r="B91" t="s">
        <v>172</v>
      </c>
      <c r="D91">
        <v>1</v>
      </c>
      <c r="E91">
        <v>0.83</v>
      </c>
      <c r="F91" t="s">
        <v>261</v>
      </c>
    </row>
    <row r="92" spans="1:10" x14ac:dyDescent="0.5">
      <c r="A92" s="1" t="s">
        <v>126</v>
      </c>
      <c r="B92" t="s">
        <v>158</v>
      </c>
      <c r="D92">
        <v>1</v>
      </c>
      <c r="F92" t="s">
        <v>220</v>
      </c>
    </row>
    <row r="93" spans="1:10" x14ac:dyDescent="0.5">
      <c r="A93" s="1" t="s">
        <v>127</v>
      </c>
      <c r="B93" t="s">
        <v>116</v>
      </c>
      <c r="D93">
        <v>1</v>
      </c>
      <c r="F93" t="s">
        <v>221</v>
      </c>
    </row>
    <row r="94" spans="1:10" x14ac:dyDescent="0.5">
      <c r="A94" s="1" t="s">
        <v>128</v>
      </c>
      <c r="B94" t="s">
        <v>117</v>
      </c>
      <c r="D94">
        <v>1</v>
      </c>
      <c r="F94" t="s">
        <v>222</v>
      </c>
    </row>
    <row r="95" spans="1:10" x14ac:dyDescent="0.5">
      <c r="A95" s="1" t="s">
        <v>129</v>
      </c>
      <c r="B95" t="s">
        <v>118</v>
      </c>
      <c r="D95">
        <v>1</v>
      </c>
      <c r="F95" t="s">
        <v>223</v>
      </c>
    </row>
    <row r="96" spans="1:10" x14ac:dyDescent="0.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5">
      <c r="A100" s="1" t="s">
        <v>34</v>
      </c>
      <c r="B100" t="s">
        <v>35</v>
      </c>
    </row>
    <row r="102" spans="1:6" x14ac:dyDescent="0.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5">
      <c r="A103" s="1" t="s">
        <v>73</v>
      </c>
      <c r="B103" t="s">
        <v>74</v>
      </c>
    </row>
    <row r="104" spans="1:6" x14ac:dyDescent="0.5">
      <c r="A104" s="1" t="s">
        <v>75</v>
      </c>
      <c r="B104" t="s">
        <v>76</v>
      </c>
    </row>
    <row r="105" spans="1:6" x14ac:dyDescent="0.5">
      <c r="A105" s="1" t="s">
        <v>77</v>
      </c>
      <c r="B105" t="s">
        <v>78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FCFD-82CD-436F-B981-3C7AACA19280}">
  <dimension ref="A1:J105"/>
  <sheetViews>
    <sheetView tabSelected="1" topLeftCell="A22" zoomScaleNormal="100" workbookViewId="0">
      <selection activeCell="F28" sqref="F28"/>
    </sheetView>
  </sheetViews>
  <sheetFormatPr defaultRowHeight="14.35" x14ac:dyDescent="0.5"/>
  <cols>
    <col min="1" max="1" width="15.29296875" style="1" bestFit="1" customWidth="1"/>
    <col min="2" max="2" width="51" bestFit="1" customWidth="1"/>
    <col min="3" max="3" width="20.41015625" bestFit="1" customWidth="1"/>
    <col min="4" max="4" width="13.1171875" customWidth="1"/>
    <col min="5" max="5" width="22.29296875" bestFit="1" customWidth="1"/>
    <col min="6" max="6" width="19.29296875" bestFit="1" customWidth="1"/>
    <col min="7" max="7" width="12.41015625" bestFit="1" customWidth="1"/>
    <col min="8" max="8" width="17.5859375" bestFit="1" customWidth="1"/>
    <col min="9" max="9" width="6" bestFit="1" customWidth="1"/>
    <col min="10" max="10" width="13.5859375" customWidth="1"/>
  </cols>
  <sheetData>
    <row r="1" spans="1:6" x14ac:dyDescent="0.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5">
      <c r="A2" s="1" t="s">
        <v>4</v>
      </c>
      <c r="B2" t="s">
        <v>5</v>
      </c>
      <c r="F2" t="s">
        <v>181</v>
      </c>
    </row>
    <row r="3" spans="1:6" x14ac:dyDescent="0.5">
      <c r="A3" s="1" t="s">
        <v>6</v>
      </c>
      <c r="B3" t="s">
        <v>7</v>
      </c>
    </row>
    <row r="4" spans="1:6" x14ac:dyDescent="0.5">
      <c r="A4" s="1" t="s">
        <v>8</v>
      </c>
      <c r="B4" t="s">
        <v>9</v>
      </c>
    </row>
    <row r="5" spans="1:6" x14ac:dyDescent="0.5">
      <c r="A5" s="1" t="s">
        <v>10</v>
      </c>
      <c r="B5" t="s">
        <v>11</v>
      </c>
      <c r="C5" t="s">
        <v>12</v>
      </c>
      <c r="E5" t="s">
        <v>264</v>
      </c>
      <c r="F5" t="s">
        <v>170</v>
      </c>
    </row>
    <row r="6" spans="1:6" x14ac:dyDescent="0.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5">
      <c r="A7" s="1" t="s">
        <v>16</v>
      </c>
      <c r="B7" t="s">
        <v>17</v>
      </c>
      <c r="C7" t="s">
        <v>18</v>
      </c>
      <c r="E7" t="s">
        <v>249</v>
      </c>
    </row>
    <row r="8" spans="1:6" x14ac:dyDescent="0.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5">
      <c r="A16" s="1" t="s">
        <v>195</v>
      </c>
      <c r="B16" t="s">
        <v>196</v>
      </c>
      <c r="C16" t="s">
        <v>197</v>
      </c>
      <c r="E16">
        <f>SUM(E62:E76)</f>
        <v>0.96</v>
      </c>
    </row>
    <row r="18" spans="1:10" x14ac:dyDescent="0.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5">
      <c r="A20" s="1" t="s">
        <v>27</v>
      </c>
      <c r="B20" t="s">
        <v>28</v>
      </c>
      <c r="D20">
        <v>0.75</v>
      </c>
      <c r="E20">
        <v>0.74</v>
      </c>
    </row>
    <row r="21" spans="1:10" x14ac:dyDescent="0.5">
      <c r="A21" s="1" t="s">
        <v>29</v>
      </c>
      <c r="B21" t="s">
        <v>30</v>
      </c>
      <c r="D21">
        <v>0.75</v>
      </c>
    </row>
    <row r="22" spans="1:10" x14ac:dyDescent="0.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5">
      <c r="A23" s="1" t="s">
        <v>31</v>
      </c>
      <c r="B23" t="s">
        <v>228</v>
      </c>
      <c r="D23">
        <v>-0.25</v>
      </c>
    </row>
    <row r="24" spans="1:10" x14ac:dyDescent="0.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260</v>
      </c>
    </row>
    <row r="25" spans="1:10" x14ac:dyDescent="0.5">
      <c r="A25" s="1" t="s">
        <v>42</v>
      </c>
      <c r="B25" t="s">
        <v>43</v>
      </c>
      <c r="D25">
        <v>0</v>
      </c>
    </row>
    <row r="26" spans="1:10" x14ac:dyDescent="0.5">
      <c r="A26" s="1" t="s">
        <v>138</v>
      </c>
      <c r="B26" t="s">
        <v>44</v>
      </c>
      <c r="C26" t="s">
        <v>189</v>
      </c>
      <c r="D26">
        <v>0</v>
      </c>
      <c r="E26" s="3"/>
      <c r="F26" s="4">
        <v>8</v>
      </c>
      <c r="G26" s="4" t="s">
        <v>251</v>
      </c>
      <c r="H26" s="4"/>
      <c r="I26" s="4"/>
      <c r="J26" s="4"/>
    </row>
    <row r="27" spans="1:10" x14ac:dyDescent="0.5">
      <c r="A27" s="1" t="s">
        <v>139</v>
      </c>
      <c r="B27" t="s">
        <v>45</v>
      </c>
      <c r="C27" t="s">
        <v>46</v>
      </c>
      <c r="D27">
        <v>1</v>
      </c>
      <c r="E27" s="3"/>
      <c r="F27" s="4">
        <f>2.9*60/1000</f>
        <v>0.17399999999999999</v>
      </c>
      <c r="G27" s="4" t="s">
        <v>250</v>
      </c>
      <c r="H27" s="4"/>
      <c r="I27" s="4"/>
      <c r="J27" s="4"/>
    </row>
    <row r="28" spans="1:10" x14ac:dyDescent="0.5">
      <c r="A28" s="1" t="s">
        <v>47</v>
      </c>
      <c r="B28" t="s">
        <v>48</v>
      </c>
      <c r="C28" t="s">
        <v>190</v>
      </c>
      <c r="D28">
        <v>0</v>
      </c>
      <c r="F28" s="4">
        <f>F27/(70^0.75)</f>
        <v>7.1899474840331325E-3</v>
      </c>
      <c r="G28" s="4" t="s">
        <v>253</v>
      </c>
      <c r="H28" s="4"/>
      <c r="I28" s="4"/>
      <c r="J28" s="4"/>
    </row>
    <row r="29" spans="1:10" x14ac:dyDescent="0.5">
      <c r="A29" s="1" t="s">
        <v>140</v>
      </c>
      <c r="B29" t="s">
        <v>49</v>
      </c>
      <c r="C29" t="s">
        <v>190</v>
      </c>
      <c r="D29">
        <v>0</v>
      </c>
      <c r="F29" s="4">
        <f>0.1 + 0.4*F26/18</f>
        <v>0.27777777777777779</v>
      </c>
      <c r="G29" s="4" t="s">
        <v>252</v>
      </c>
      <c r="H29" s="4"/>
      <c r="I29" s="4"/>
      <c r="J29" s="4"/>
    </row>
    <row r="30" spans="1:10" x14ac:dyDescent="0.5">
      <c r="A30" s="1" t="s">
        <v>141</v>
      </c>
      <c r="B30" t="s">
        <v>208</v>
      </c>
      <c r="C30" t="s">
        <v>36</v>
      </c>
      <c r="D30">
        <v>0</v>
      </c>
      <c r="F30" s="4">
        <f>0.9-0.4*F26/18</f>
        <v>0.72222222222222221</v>
      </c>
      <c r="G30" s="4" t="s">
        <v>254</v>
      </c>
      <c r="H30" s="4"/>
      <c r="I30" s="4"/>
      <c r="J30" s="4"/>
    </row>
    <row r="31" spans="1:10" x14ac:dyDescent="0.5">
      <c r="A31" s="1" t="s">
        <v>142</v>
      </c>
      <c r="B31" t="s">
        <v>50</v>
      </c>
      <c r="C31" t="s">
        <v>190</v>
      </c>
      <c r="D31">
        <v>0</v>
      </c>
    </row>
    <row r="32" spans="1:10" x14ac:dyDescent="0.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6" x14ac:dyDescent="0.5">
      <c r="A33" s="1" t="s">
        <v>52</v>
      </c>
      <c r="B33" t="s">
        <v>206</v>
      </c>
      <c r="C33" t="s">
        <v>36</v>
      </c>
      <c r="D33">
        <v>0</v>
      </c>
    </row>
    <row r="34" spans="1:6" x14ac:dyDescent="0.5">
      <c r="A34" s="1" t="s">
        <v>53</v>
      </c>
      <c r="B34" t="s">
        <v>207</v>
      </c>
      <c r="C34" t="s">
        <v>36</v>
      </c>
      <c r="D34">
        <v>0</v>
      </c>
    </row>
    <row r="35" spans="1:6" x14ac:dyDescent="0.5">
      <c r="A35" s="1" t="s">
        <v>54</v>
      </c>
      <c r="B35" t="s">
        <v>55</v>
      </c>
      <c r="C35" t="s">
        <v>36</v>
      </c>
      <c r="D35">
        <v>0</v>
      </c>
    </row>
    <row r="36" spans="1:6" x14ac:dyDescent="0.5">
      <c r="A36" s="1" t="s">
        <v>165</v>
      </c>
      <c r="B36" t="s">
        <v>166</v>
      </c>
      <c r="C36" t="s">
        <v>190</v>
      </c>
      <c r="D36">
        <v>0</v>
      </c>
      <c r="E36" s="4">
        <f>F28*F29</f>
        <v>1.997207634453648E-3</v>
      </c>
      <c r="F36" t="s">
        <v>235</v>
      </c>
    </row>
    <row r="37" spans="1:6" x14ac:dyDescent="0.5">
      <c r="A37" s="1" t="s">
        <v>56</v>
      </c>
      <c r="B37" t="s">
        <v>167</v>
      </c>
      <c r="C37" t="s">
        <v>190</v>
      </c>
      <c r="D37">
        <v>0</v>
      </c>
    </row>
    <row r="38" spans="1:6" x14ac:dyDescent="0.5">
      <c r="A38" s="1" t="s">
        <v>237</v>
      </c>
      <c r="B38" t="s">
        <v>57</v>
      </c>
      <c r="C38" t="s">
        <v>46</v>
      </c>
      <c r="D38">
        <v>1</v>
      </c>
    </row>
    <row r="39" spans="1:6" x14ac:dyDescent="0.5">
      <c r="A39" s="1" t="s">
        <v>236</v>
      </c>
      <c r="B39" t="s">
        <v>58</v>
      </c>
      <c r="C39" t="s">
        <v>59</v>
      </c>
      <c r="D39">
        <v>0</v>
      </c>
    </row>
    <row r="40" spans="1:6" x14ac:dyDescent="0.5">
      <c r="A40" s="1" t="s">
        <v>238</v>
      </c>
      <c r="B40" t="s">
        <v>60</v>
      </c>
      <c r="C40" t="s">
        <v>36</v>
      </c>
      <c r="D40">
        <v>0</v>
      </c>
    </row>
    <row r="41" spans="1:6" x14ac:dyDescent="0.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6" x14ac:dyDescent="0.5">
      <c r="A42" s="1" t="s">
        <v>144</v>
      </c>
      <c r="B42" t="s">
        <v>62</v>
      </c>
      <c r="C42" t="s">
        <v>46</v>
      </c>
      <c r="D42">
        <v>1</v>
      </c>
    </row>
    <row r="43" spans="1:6" x14ac:dyDescent="0.5">
      <c r="A43" s="1" t="s">
        <v>145</v>
      </c>
      <c r="B43" t="s">
        <v>63</v>
      </c>
      <c r="C43" t="s">
        <v>244</v>
      </c>
      <c r="D43">
        <v>0</v>
      </c>
    </row>
    <row r="44" spans="1:6" x14ac:dyDescent="0.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6" x14ac:dyDescent="0.5">
      <c r="A45" s="1" t="s">
        <v>147</v>
      </c>
      <c r="B45" t="s">
        <v>65</v>
      </c>
      <c r="C45" t="s">
        <v>46</v>
      </c>
      <c r="D45">
        <v>1</v>
      </c>
    </row>
    <row r="46" spans="1:6" x14ac:dyDescent="0.5">
      <c r="A46" s="1" t="s">
        <v>203</v>
      </c>
      <c r="B46" t="s">
        <v>204</v>
      </c>
      <c r="C46" t="s">
        <v>244</v>
      </c>
      <c r="D46">
        <v>0</v>
      </c>
      <c r="E46" s="4">
        <f>F28*F30/E75</f>
        <v>7.4181997851135495E-2</v>
      </c>
    </row>
    <row r="47" spans="1:6" x14ac:dyDescent="0.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6" x14ac:dyDescent="0.5">
      <c r="A48" s="1" t="s">
        <v>149</v>
      </c>
      <c r="B48" t="s">
        <v>67</v>
      </c>
      <c r="C48" t="s">
        <v>46</v>
      </c>
      <c r="D48">
        <v>1</v>
      </c>
    </row>
    <row r="49" spans="1:6" x14ac:dyDescent="0.5">
      <c r="A49" s="1" t="s">
        <v>150</v>
      </c>
      <c r="B49" t="s">
        <v>68</v>
      </c>
      <c r="C49" t="s">
        <v>244</v>
      </c>
      <c r="D49">
        <v>0</v>
      </c>
    </row>
    <row r="50" spans="1:6" x14ac:dyDescent="0.5">
      <c r="A50" s="1" t="s">
        <v>37</v>
      </c>
      <c r="B50" t="s">
        <v>38</v>
      </c>
      <c r="D50">
        <v>0</v>
      </c>
    </row>
    <row r="51" spans="1:6" x14ac:dyDescent="0.5">
      <c r="A51" s="1" t="s">
        <v>168</v>
      </c>
      <c r="B51" t="s">
        <v>169</v>
      </c>
      <c r="D51">
        <v>1</v>
      </c>
    </row>
    <row r="52" spans="1:6" x14ac:dyDescent="0.5">
      <c r="A52" s="1" t="s">
        <v>39</v>
      </c>
      <c r="B52" t="s">
        <v>40</v>
      </c>
      <c r="D52">
        <v>1</v>
      </c>
    </row>
    <row r="53" spans="1:6" x14ac:dyDescent="0.5">
      <c r="A53" s="1" t="s">
        <v>184</v>
      </c>
      <c r="B53" t="s">
        <v>183</v>
      </c>
      <c r="C53" t="s">
        <v>185</v>
      </c>
      <c r="D53">
        <v>0</v>
      </c>
    </row>
    <row r="54" spans="1:6" x14ac:dyDescent="0.5">
      <c r="A54" s="1" t="s">
        <v>160</v>
      </c>
      <c r="B54" t="s">
        <v>162</v>
      </c>
      <c r="C54" t="s">
        <v>191</v>
      </c>
      <c r="D54">
        <v>1</v>
      </c>
    </row>
    <row r="55" spans="1:6" x14ac:dyDescent="0.5">
      <c r="A55" s="1" t="s">
        <v>161</v>
      </c>
      <c r="B55" t="s">
        <v>163</v>
      </c>
      <c r="D55">
        <v>0</v>
      </c>
    </row>
    <row r="56" spans="1:6" x14ac:dyDescent="0.5">
      <c r="A56" s="1" t="s">
        <v>198</v>
      </c>
      <c r="B56" t="s">
        <v>199</v>
      </c>
      <c r="C56" t="s">
        <v>36</v>
      </c>
      <c r="D56">
        <v>0</v>
      </c>
    </row>
    <row r="57" spans="1:6" x14ac:dyDescent="0.5">
      <c r="A57" s="1" t="s">
        <v>200</v>
      </c>
      <c r="B57" t="s">
        <v>201</v>
      </c>
      <c r="C57" t="s">
        <v>202</v>
      </c>
      <c r="D57">
        <v>0</v>
      </c>
    </row>
    <row r="58" spans="1:6" x14ac:dyDescent="0.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5">
      <c r="A59" s="1" t="s">
        <v>41</v>
      </c>
      <c r="B59" t="s">
        <v>242</v>
      </c>
      <c r="D59">
        <v>1</v>
      </c>
    </row>
    <row r="61" spans="1:6" x14ac:dyDescent="0.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5">
      <c r="A67" s="1" t="s">
        <v>90</v>
      </c>
      <c r="B67" t="s">
        <v>83</v>
      </c>
      <c r="C67" t="s">
        <v>186</v>
      </c>
      <c r="D67">
        <v>1</v>
      </c>
      <c r="E67">
        <v>0.03</v>
      </c>
      <c r="F67" t="s">
        <v>217</v>
      </c>
    </row>
    <row r="68" spans="1:6" x14ac:dyDescent="0.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5">
      <c r="A70" s="1" t="s">
        <v>93</v>
      </c>
      <c r="B70" t="s">
        <v>257</v>
      </c>
      <c r="C70" t="s">
        <v>186</v>
      </c>
      <c r="D70">
        <v>1</v>
      </c>
      <c r="E70">
        <v>3.5999999999999997E-2</v>
      </c>
      <c r="F70" t="s">
        <v>261</v>
      </c>
    </row>
    <row r="71" spans="1:6" x14ac:dyDescent="0.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5">
      <c r="A75" s="1" t="s">
        <v>98</v>
      </c>
      <c r="B75" t="s">
        <v>255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5">
      <c r="A76" s="1" t="s">
        <v>151</v>
      </c>
      <c r="B76" t="s">
        <v>256</v>
      </c>
      <c r="C76" t="s">
        <v>186</v>
      </c>
      <c r="D76">
        <v>1</v>
      </c>
      <c r="E76">
        <v>0.82</v>
      </c>
      <c r="F76" t="s">
        <v>225</v>
      </c>
    </row>
    <row r="77" spans="1:6" x14ac:dyDescent="0.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261</v>
      </c>
    </row>
    <row r="81" spans="1:10" x14ac:dyDescent="0.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5">
      <c r="A85" s="1" t="s">
        <v>112</v>
      </c>
      <c r="B85" t="s">
        <v>259</v>
      </c>
      <c r="C85" t="s">
        <v>185</v>
      </c>
      <c r="D85">
        <v>0</v>
      </c>
      <c r="E85" s="6">
        <v>0.05</v>
      </c>
      <c r="F85" t="s">
        <v>262</v>
      </c>
      <c r="G85" s="6" t="s">
        <v>263</v>
      </c>
      <c r="H85" s="6"/>
      <c r="I85" s="6"/>
      <c r="J85" s="6"/>
    </row>
    <row r="86" spans="1:10" x14ac:dyDescent="0.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258</v>
      </c>
      <c r="H86" s="5"/>
    </row>
    <row r="87" spans="1:10" x14ac:dyDescent="0.5">
      <c r="A87" s="1" t="s">
        <v>121</v>
      </c>
      <c r="B87" t="s">
        <v>113</v>
      </c>
      <c r="D87">
        <v>1</v>
      </c>
      <c r="F87" t="s">
        <v>215</v>
      </c>
    </row>
    <row r="88" spans="1:10" x14ac:dyDescent="0.5">
      <c r="A88" s="1" t="s">
        <v>122</v>
      </c>
      <c r="B88" t="s">
        <v>211</v>
      </c>
      <c r="D88">
        <v>1</v>
      </c>
      <c r="F88" t="s">
        <v>216</v>
      </c>
    </row>
    <row r="89" spans="1:10" x14ac:dyDescent="0.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5">
      <c r="A91" s="1" t="s">
        <v>125</v>
      </c>
      <c r="B91" t="s">
        <v>172</v>
      </c>
      <c r="D91">
        <v>1</v>
      </c>
      <c r="E91">
        <v>0.83</v>
      </c>
      <c r="F91" t="s">
        <v>261</v>
      </c>
    </row>
    <row r="92" spans="1:10" x14ac:dyDescent="0.5">
      <c r="A92" s="1" t="s">
        <v>126</v>
      </c>
      <c r="B92" t="s">
        <v>158</v>
      </c>
      <c r="D92">
        <v>1</v>
      </c>
      <c r="F92" t="s">
        <v>220</v>
      </c>
    </row>
    <row r="93" spans="1:10" x14ac:dyDescent="0.5">
      <c r="A93" s="1" t="s">
        <v>127</v>
      </c>
      <c r="B93" t="s">
        <v>116</v>
      </c>
      <c r="D93">
        <v>1</v>
      </c>
      <c r="F93" t="s">
        <v>221</v>
      </c>
    </row>
    <row r="94" spans="1:10" x14ac:dyDescent="0.5">
      <c r="A94" s="1" t="s">
        <v>128</v>
      </c>
      <c r="B94" t="s">
        <v>117</v>
      </c>
      <c r="D94">
        <v>1</v>
      </c>
      <c r="F94" t="s">
        <v>222</v>
      </c>
    </row>
    <row r="95" spans="1:10" x14ac:dyDescent="0.5">
      <c r="A95" s="1" t="s">
        <v>129</v>
      </c>
      <c r="B95" t="s">
        <v>118</v>
      </c>
      <c r="D95">
        <v>1</v>
      </c>
      <c r="F95" t="s">
        <v>223</v>
      </c>
    </row>
    <row r="96" spans="1:10" x14ac:dyDescent="0.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5">
      <c r="A100" s="1" t="s">
        <v>34</v>
      </c>
      <c r="B100" t="s">
        <v>35</v>
      </c>
    </row>
    <row r="102" spans="1:6" x14ac:dyDescent="0.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5">
      <c r="A103" s="1" t="s">
        <v>73</v>
      </c>
      <c r="B103" t="s">
        <v>74</v>
      </c>
    </row>
    <row r="104" spans="1:6" x14ac:dyDescent="0.5">
      <c r="A104" s="1" t="s">
        <v>75</v>
      </c>
      <c r="B104" t="s">
        <v>76</v>
      </c>
    </row>
    <row r="105" spans="1:6" x14ac:dyDescent="0.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29f62856-1543-49d4-a736-4569d363f533" ContentTypeId="0x01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2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Human4yo</vt:lpstr>
      <vt:lpstr>Human8yo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2026-02-25T19:23:58Z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