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295" documentId="8_{7F8D94C6-EC2B-4A79-A22A-AD1B7807B962}" xr6:coauthVersionLast="47" xr6:coauthVersionMax="47" xr10:uidLastSave="{0CD96151-D1AD-4DB3-9455-7E599C57FEA7}"/>
  <bookViews>
    <workbookView xWindow="390" yWindow="390" windowWidth="24600" windowHeight="13290" xr2:uid="{089E7848-11EB-427A-89EA-83825F220BA0}"/>
  </bookViews>
  <sheets>
    <sheet name="Human4yo" sheetId="9" r:id="rId1"/>
    <sheet name="Human8yo" sheetId="10" r:id="rId2"/>
  </sheets>
  <definedNames>
    <definedName name="age" localSheetId="0">Human4yo!$F$26</definedName>
    <definedName name="BH" localSheetId="0">Human4yo!$H$25</definedName>
    <definedName name="BW" localSheetId="0">Human4yo!$F$25</definedName>
    <definedName name="BW" localSheetId="1">Human8yo!$F$25</definedName>
    <definedName name="CLp" localSheetId="0">Human4yo!$F$27</definedName>
    <definedName name="PC">Human4yo!$I$21</definedName>
    <definedName name="Qct" localSheetId="0">Human4yo!$G$77</definedName>
    <definedName name="surface" localSheetId="0">Human4yo!$H$26</definedName>
    <definedName name="Vtf" localSheetId="0">Human4yo!$G$76</definedName>
    <definedName name="Vtf">Human4yo!$I$12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46" i="9" l="1"/>
  <c r="E96" i="9"/>
  <c r="E95" i="9"/>
  <c r="E76" i="9"/>
  <c r="G74" i="9"/>
  <c r="E97" i="9"/>
  <c r="E91" i="9"/>
  <c r="E89" i="9"/>
  <c r="H26" i="9"/>
  <c r="K79" i="9" s="1"/>
  <c r="L79" i="9" s="1"/>
  <c r="K78" i="9"/>
  <c r="L78" i="9" s="1"/>
  <c r="K77" i="9"/>
  <c r="G77" i="9"/>
  <c r="G85" i="9" s="1"/>
  <c r="G67" i="9"/>
  <c r="G78" i="9" s="1"/>
  <c r="E75" i="9"/>
  <c r="F30" i="9"/>
  <c r="F29" i="9"/>
  <c r="F27" i="9"/>
  <c r="F28" i="9" s="1"/>
  <c r="F30" i="10"/>
  <c r="F29" i="10"/>
  <c r="F27" i="10"/>
  <c r="F46" i="10" s="1"/>
  <c r="E86" i="10"/>
  <c r="E24" i="10"/>
  <c r="E16" i="10"/>
  <c r="E15" i="10"/>
  <c r="E24" i="9"/>
  <c r="F46" i="9" l="1"/>
  <c r="G84" i="9"/>
  <c r="E78" i="9" a="1"/>
  <c r="E78" i="9" s="1"/>
  <c r="F31" i="9"/>
  <c r="K80" i="9"/>
  <c r="L77" i="9"/>
  <c r="L80" i="9" s="1"/>
  <c r="E70" i="9"/>
  <c r="G70" i="9" s="1"/>
  <c r="G75" i="9"/>
  <c r="F28" i="10"/>
  <c r="E36" i="10" s="1"/>
  <c r="F37" i="10" s="1"/>
  <c r="E16" i="9" l="1"/>
  <c r="G76" i="9"/>
  <c r="K81" i="9" s="1"/>
  <c r="L81" i="9" s="1"/>
  <c r="G86" i="9" s="1"/>
  <c r="E86" i="9" s="1"/>
  <c r="E80" i="9" s="1"/>
  <c r="G80" i="9" l="1"/>
  <c r="E1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<sst xmlns="http://schemas.openxmlformats.org/spreadsheetml/2006/main" count="731" uniqueCount="290">
  <si>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</si>
  <si>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</si>
  <si>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</si>
  <si>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</si>
  <si>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</si>
  <si>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</si>
  <si>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</si>
  <si>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</si>
  <si>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</si>
  <si>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</si>
  <si>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</si>
  <si>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</si>
  <si>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</si>
  <si>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</si>
  <si>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</si>
  <si>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</si>
  <si>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</si>
  <si>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</si>
  <si>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</si>
  <si>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</si>
  <si>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</si>
  <si>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</si>
  <si>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</si>
  <si>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</si>
  <si>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</si>
  <si>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</si>
  <si>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</si>
  <si>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</si>
  <si>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</si>
  <si>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</si>
  <si>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</si>
  <si>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</si>
  <si>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</si>
  <si>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</si>
  <si>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</si>
  <si>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</si>
  <si>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</si>
  <si>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</si>
  <si>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</si>
  <si>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</si>
  <si>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</si>
  <si>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</si>
  <si>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</si>
  <si>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</si>
  <si>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</si>
  <si>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</si>
  <si>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</si>
  <si>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</si>
  <si>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</si>
  <si>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</si>
  <si>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</si>
  <si>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</si>
  <si>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</si>
  <si>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</si>
  <si>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</si>
  <si>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</si>
  <si>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</si>
  <si>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</si>
  <si>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</si>
  <si>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</si>
  <si>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</si>
  <si>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</si>
  <si>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</si>
  <si>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</si>
  <si>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</si>
  <si>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</si>
  <si>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</si>
  <si>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</si>
  <si>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</si>
  <si>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</si>
  <si>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</si>
  <si>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</si>
  <si>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</si>
  <si>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</si>
  <si>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</si>
  <si>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</si>
  <si>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</si>
  <si>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</si>
  <si>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</si>
  <si>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</si>
  <si>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</si>
  <si>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</si>
  <si>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</si>
  <si>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</si>
  <si>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</si>
  <si>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</si>
  <si>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</si>
  <si>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</si>
  <si>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</si>
  <si>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</si>
  <si>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</si>
  <si>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</si>
  <si>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</si>
  <si>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</si>
  <si>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</si>
  <si>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</si>
  <si>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</si>
  <si>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</si>
  <si>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</si>
  <si>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</si>
  <si>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</si>
  <si>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</si>
  <si>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</si>
  <si>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</si>
  <si>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</si>
  <si>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</si>
  <si>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</si>
  <si>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</si>
  <si>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</si>
  <si>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</si>
  <si>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</si>
  <si>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</si>
  <si>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</si>
  <si>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</si>
  <si>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</si>
  <si>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</si>
  <si>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</si>
  <si>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</si>
  <si>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</si>
  <si>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</si>
  <si>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</si>
  <si>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</si>
  <si>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</si>
  <si>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</si>
  <si>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</si>
  <si>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</si>
  <si>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</si>
  <si>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</si>
  <si>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</si>
  <si>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</si>
  <si>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</si>
  <si>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</si>
  <si>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</si>
  <si>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</si>
  <si>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</si>
  <si>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</si>
  <si>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</si>
  <si>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</si>
  <si>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</si>
  <si>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</si>
  <si>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</si>
  <si>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</si>
  <si>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</si>
  <si>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</si>
  <si>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</si>
  <si>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</si>
  <si>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</si>
  <si>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</si>
  <si>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</si>
  <si>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</si>
  <si>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</si>
  <si>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</si>
  <si>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</si>
  <si>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</si>
  <si>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</si>
  <si>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</si>
  <si>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</si>
  <si>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</si>
  <si>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</si>
  <si>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</si>
  <si>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</si>
  <si>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</si>
  <si>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</si>
  <si>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</si>
  <si>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</si>
  <si>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</si>
  <si>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</si>
  <si>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</si>
  <si>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</si>
  <si>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</si>
  <si>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</si>
  <si>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</si>
  <si>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</si>
  <si>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</si>
  <si>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</si>
  <si>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</si>
  <si>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</si>
  <si>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</si>
  <si>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</si>
  <si>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</si>
  <si>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</si>
  <si>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</si>
  <si>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</si>
  <si>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</si>
  <si>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</si>
  <si>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</si>
  <si>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</si>
  <si>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</si>
  <si>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</si>
  <si>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</si>
  <si>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</si>
  <si>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</si>
  <si>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</si>
  <si>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</si>
  <si>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</si>
  <si>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</si>
  <si>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</si>
  <si>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</si>
  <si>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</si>
  <si>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</si>
  <si>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</si>
  <si>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</si>
  <si>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</si>
  <si>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</si>
  <si>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</si>
  <si>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</si>
  <si>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</si>
  <si>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</si>
  <si>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</si>
  <si>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</si>
  <si>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</si>
  <si>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</si>
  <si>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</si>
  <si>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</si>
  <si>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</si>
  <si>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</si>
  <si>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</si>
  <si>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</si>
  <si>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</si>
  <si>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kidney filtrate</t>
  </si>
  <si>
    <t>tissue 2</t>
  </si>
  <si>
    <t>tissue 3</t>
  </si>
  <si>
    <t>tissue 4</t>
  </si>
  <si>
    <t>tissue 5</t>
  </si>
  <si>
    <t>other metabolizing tissue</t>
  </si>
  <si>
    <t>rest of body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</si>
  <si>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</si>
  <si>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</si>
  <si>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</si>
  <si>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</si>
  <si>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</si>
  <si>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</si>
  <si>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</si>
  <si>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</si>
  <si>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</si>
  <si>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</si>
  <si>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</si>
  <si>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</si>
  <si>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</si>
  <si>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</si>
  <si>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</si>
  <si>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</si>
  <si>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</si>
  <si>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</si>
  <si>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</si>
  <si>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</si>
  <si>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F ion</t>
  </si>
  <si>
    <t>mg</t>
  </si>
  <si>
    <t>L</t>
  </si>
  <si>
    <t>h</t>
  </si>
  <si>
    <t>age (years)</t>
  </si>
  <si>
    <t>Fraction urinary clearance</t>
  </si>
  <si>
    <t>Fraction bone clearance</t>
  </si>
  <si>
    <t>other metabolizing tissues volume fraction - bone!</t>
  </si>
  <si>
    <t>rest of body volume fraction ("sowly perfused")</t>
  </si>
  <si>
    <t>tissue compartment 1 volume fraction ("rapidy perfused")</t>
  </si>
  <si>
    <t>Calculated, 1 - others</t>
  </si>
  <si>
    <t>other metabolizing tissues blood flow rate fraction - bone</t>
  </si>
  <si>
    <t>Rao et al. p. 32, '360 L/d/BW^0.74', citing Andersen et al. (1987)</t>
  </si>
  <si>
    <t>rapidly perfused</t>
  </si>
  <si>
    <t>bone</t>
  </si>
  <si>
    <t>Jean et al. used 0.05 for children, 0.03 for adults</t>
  </si>
  <si>
    <t>ug</t>
  </si>
  <si>
    <t>BW (kg)</t>
  </si>
  <si>
    <t>(kg^0.25/h), " scaled to BW^0.75</t>
  </si>
  <si>
    <t>&lt;= renal CL (L/h)</t>
  </si>
  <si>
    <t>&lt;=bone CL (L/h)</t>
  </si>
  <si>
    <t>Total plasma CL (L/h ~ kg/h; Jean 2016)</t>
  </si>
  <si>
    <t>&lt;= Total bone CL (L/h)</t>
  </si>
  <si>
    <t>height (cm)</t>
  </si>
  <si>
    <t>Total volumes</t>
  </si>
  <si>
    <t>slowly perfused</t>
  </si>
  <si>
    <t>2</t>
  </si>
  <si>
    <t>&lt;= total Qc (L/h)</t>
  </si>
  <si>
    <t>Slowly perfused</t>
  </si>
  <si>
    <t>Volume</t>
  </si>
  <si>
    <t>Tongue</t>
  </si>
  <si>
    <t>Heart</t>
  </si>
  <si>
    <t>Muscle</t>
  </si>
  <si>
    <t>Total</t>
  </si>
  <si>
    <t>Blood flows</t>
  </si>
  <si>
    <t>Surface area (cm^2)</t>
  </si>
  <si>
    <t>^ Vtf/"Total"</t>
  </si>
  <si>
    <t>volume above</t>
  </si>
  <si>
    <t>x Vtf/"Total" volume</t>
  </si>
  <si>
    <t>^ "Total" blood flow above</t>
  </si>
  <si>
    <t>Tissue:plasma coeffs</t>
  </si>
  <si>
    <t>Below was copied, with limited translation, from the Jean et al. spreadsheet</t>
  </si>
  <si>
    <t>used for kidney</t>
  </si>
  <si>
    <t>Tota urinary [kidney] CL (L/h) from plasma; multiply by 1.333 to get CL from blood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</si>
</sst>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2" fontId="0" fillId="3" borderId="0" xfId="0" applyNumberFormat="1" applyFill="1"/>
    <xf numFmtId="164" fontId="0" fillId="3" borderId="0" xfId="0" applyNumberFormat="1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/>
    <xf numFmtId="2" fontId="0" fillId="0" borderId="0" xfId="0" applyNumberFormat="1"/>
    <xf numFmtId="2" fontId="0" fillId="0" borderId="0" xfId="0" applyNumberForma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N105"/>
  <sheetViews>
    <sheetView tabSelected="1" topLeftCell="A23" zoomScaleNormal="100" workbookViewId="0">
      <selection activeCell="F44" sqref="F44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  <col min="11" max="11" width="13.140625" customWidth="1"/>
    <col min="12" max="12" width="11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247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 t="s">
        <v>272</v>
      </c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  <c r="E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  <c r="E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1</v>
      </c>
    </row>
    <row r="18" spans="1:10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10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10" x14ac:dyDescent="0.25">
      <c r="A20" s="1" t="s">
        <v>27</v>
      </c>
      <c r="B20" t="s">
        <v>28</v>
      </c>
      <c r="D20">
        <v>0.75</v>
      </c>
      <c r="E20">
        <v>0.74</v>
      </c>
    </row>
    <row r="21" spans="1:10" x14ac:dyDescent="0.25">
      <c r="A21" s="1" t="s">
        <v>29</v>
      </c>
      <c r="B21" t="s">
        <v>30</v>
      </c>
      <c r="D21">
        <v>0.75</v>
      </c>
    </row>
    <row r="22" spans="1:10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10" x14ac:dyDescent="0.25">
      <c r="A23" s="1" t="s">
        <v>31</v>
      </c>
      <c r="B23" t="s">
        <v>228</v>
      </c>
      <c r="D23">
        <v>-0.25</v>
      </c>
    </row>
    <row r="24" spans="1:10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10" x14ac:dyDescent="0.25">
      <c r="A25" s="1" t="s">
        <v>42</v>
      </c>
      <c r="B25" t="s">
        <v>43</v>
      </c>
      <c r="D25">
        <v>0</v>
      </c>
      <c r="F25" s="4">
        <v>16</v>
      </c>
      <c r="G25" s="4" t="s">
        <v>263</v>
      </c>
      <c r="H25" s="4">
        <v>103</v>
      </c>
      <c r="I25" s="4" t="s">
        <v>269</v>
      </c>
      <c r="J25" s="4"/>
    </row>
    <row r="26" spans="1:10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4</v>
      </c>
      <c r="G26" s="4" t="s">
        <v>250</v>
      </c>
      <c r="H26" s="8">
        <f>10000*(BW^0.514994446*(BH^0.422014803)*0.023492833)</f>
        <v>6926.2410142047056</v>
      </c>
      <c r="I26" s="4" t="s">
        <v>281</v>
      </c>
      <c r="J26" s="4"/>
    </row>
    <row r="27" spans="1:10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30.6*EXP(-0.166*age)*(60/1000)*(BW^0.75)</f>
        <v>7.5612070026140072</v>
      </c>
      <c r="G27" s="4" t="s">
        <v>267</v>
      </c>
      <c r="H27" s="4"/>
      <c r="I27" s="4"/>
    </row>
    <row r="28" spans="1:10" x14ac:dyDescent="0.25">
      <c r="A28" s="1" t="s">
        <v>47</v>
      </c>
      <c r="B28" t="s">
        <v>48</v>
      </c>
      <c r="C28" t="s">
        <v>190</v>
      </c>
      <c r="D28">
        <v>0</v>
      </c>
      <c r="F28" s="4">
        <f>F27/(BW^0.75)</f>
        <v>0.94515087532675113</v>
      </c>
      <c r="G28" s="4" t="s">
        <v>264</v>
      </c>
      <c r="H28" s="4"/>
      <c r="I28" s="4"/>
    </row>
    <row r="29" spans="1:10" x14ac:dyDescent="0.25">
      <c r="A29" s="1" t="s">
        <v>140</v>
      </c>
      <c r="B29" t="s">
        <v>49</v>
      </c>
      <c r="C29" t="s">
        <v>190</v>
      </c>
      <c r="D29">
        <v>0</v>
      </c>
      <c r="E29">
        <v>100</v>
      </c>
      <c r="F29" s="4">
        <f>0.1 + 0.0222*age</f>
        <v>0.18880000000000002</v>
      </c>
      <c r="G29" s="4" t="s">
        <v>251</v>
      </c>
      <c r="H29" s="4"/>
      <c r="I29" s="4"/>
    </row>
    <row r="30" spans="1:10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0.9-0.0222*age</f>
        <v>0.81120000000000003</v>
      </c>
      <c r="G30" s="4" t="s">
        <v>252</v>
      </c>
      <c r="H30" s="4"/>
      <c r="I30" s="4"/>
    </row>
    <row r="31" spans="1:10" x14ac:dyDescent="0.25">
      <c r="A31" s="1" t="s">
        <v>142</v>
      </c>
      <c r="B31" t="s">
        <v>50</v>
      </c>
      <c r="C31" t="s">
        <v>190</v>
      </c>
      <c r="D31">
        <v>0</v>
      </c>
      <c r="F31" s="4">
        <f>CLp*F$30</f>
        <v>6.1336511205204829</v>
      </c>
      <c r="G31" s="4" t="s">
        <v>268</v>
      </c>
      <c r="H31" s="4"/>
    </row>
    <row r="32" spans="1:10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11" x14ac:dyDescent="0.25">
      <c r="A33" s="1" t="s">
        <v>52</v>
      </c>
      <c r="B33" t="s">
        <v>206</v>
      </c>
      <c r="C33" t="s">
        <v>36</v>
      </c>
      <c r="D33">
        <v>0</v>
      </c>
    </row>
    <row r="34" spans="1:11" x14ac:dyDescent="0.25">
      <c r="A34" s="1" t="s">
        <v>53</v>
      </c>
      <c r="B34" t="s">
        <v>207</v>
      </c>
      <c r="C34" t="s">
        <v>36</v>
      </c>
      <c r="D34">
        <v>0</v>
      </c>
    </row>
    <row r="35" spans="1:11" x14ac:dyDescent="0.25">
      <c r="A35" s="1" t="s">
        <v>54</v>
      </c>
      <c r="B35" t="s">
        <v>55</v>
      </c>
      <c r="C35" t="s">
        <v>36</v>
      </c>
      <c r="D35">
        <v>0</v>
      </c>
      <c r="G35" s="4"/>
      <c r="H35" s="4"/>
      <c r="I35" s="4"/>
      <c r="J35" s="4"/>
    </row>
    <row r="36" spans="1:11" x14ac:dyDescent="0.25">
      <c r="A36" s="1" t="s">
        <v>165</v>
      </c>
      <c r="B36" t="s">
        <v>166</v>
      </c>
      <c r="C36" t="s">
        <v>190</v>
      </c>
      <c r="D36">
        <v>0</v>
      </c>
      <c r="G36" t="s">
        <v>235</v>
      </c>
    </row>
    <row r="37" spans="1:11" x14ac:dyDescent="0.25">
      <c r="A37" s="1" t="s">
        <v>56</v>
      </c>
      <c r="B37" t="s">
        <v>167</v>
      </c>
      <c r="C37" t="s">
        <v>190</v>
      </c>
      <c r="D37">
        <v>0</v>
      </c>
    </row>
    <row r="38" spans="1:11" x14ac:dyDescent="0.25">
      <c r="A38" s="1" t="s">
        <v>237</v>
      </c>
      <c r="B38" t="s">
        <v>57</v>
      </c>
      <c r="C38" t="s">
        <v>46</v>
      </c>
      <c r="D38">
        <v>1</v>
      </c>
    </row>
    <row r="39" spans="1:11" x14ac:dyDescent="0.25">
      <c r="A39" s="1" t="s">
        <v>236</v>
      </c>
      <c r="B39" t="s">
        <v>58</v>
      </c>
      <c r="C39" t="s">
        <v>59</v>
      </c>
      <c r="D39">
        <v>0</v>
      </c>
    </row>
    <row r="40" spans="1:11" x14ac:dyDescent="0.25">
      <c r="A40" s="1" t="s">
        <v>238</v>
      </c>
      <c r="B40" t="s">
        <v>60</v>
      </c>
      <c r="C40" t="s">
        <v>36</v>
      </c>
      <c r="D40">
        <v>0</v>
      </c>
    </row>
    <row r="41" spans="1:11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11" x14ac:dyDescent="0.25">
      <c r="A42" s="1" t="s">
        <v>144</v>
      </c>
      <c r="B42" t="s">
        <v>62</v>
      </c>
      <c r="C42" t="s">
        <v>46</v>
      </c>
      <c r="D42">
        <v>1</v>
      </c>
    </row>
    <row r="43" spans="1:11" x14ac:dyDescent="0.25">
      <c r="A43" s="1" t="s">
        <v>145</v>
      </c>
      <c r="B43" t="s">
        <v>63</v>
      </c>
      <c r="C43" t="s">
        <v>244</v>
      </c>
      <c r="D43">
        <v>0</v>
      </c>
    </row>
    <row r="44" spans="1:11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11" x14ac:dyDescent="0.25">
      <c r="A45" s="1" t="s">
        <v>147</v>
      </c>
      <c r="B45" t="s">
        <v>65</v>
      </c>
      <c r="C45" t="s">
        <v>46</v>
      </c>
      <c r="D45">
        <v>1</v>
      </c>
    </row>
    <row r="46" spans="1:11" x14ac:dyDescent="0.25">
      <c r="A46" s="1" t="s">
        <v>203</v>
      </c>
      <c r="B46" t="s">
        <v>204</v>
      </c>
      <c r="C46" t="s">
        <v>244</v>
      </c>
      <c r="D46">
        <v>0</v>
      </c>
      <c r="E46" s="4">
        <f>F46*1.333/(E75*(BW^0.75))</f>
        <v>46.606293058664804</v>
      </c>
      <c r="F46" s="4">
        <f>CLp*F29</f>
        <v>1.4275558820935248</v>
      </c>
      <c r="G46" s="4" t="s">
        <v>289</v>
      </c>
      <c r="H46" s="4"/>
      <c r="I46" s="4"/>
      <c r="J46" s="4"/>
      <c r="K46" s="4"/>
    </row>
    <row r="47" spans="1:11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11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12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12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  <c r="G66" s="4" t="s">
        <v>270</v>
      </c>
    </row>
    <row r="67" spans="1:12" x14ac:dyDescent="0.25">
      <c r="A67" s="1" t="s">
        <v>90</v>
      </c>
      <c r="B67" t="s">
        <v>83</v>
      </c>
      <c r="C67" t="s">
        <v>186</v>
      </c>
      <c r="D67">
        <v>1</v>
      </c>
      <c r="E67" s="4">
        <v>2.5999999999999999E-2</v>
      </c>
      <c r="F67" t="s">
        <v>217</v>
      </c>
      <c r="G67" s="4">
        <f>E67*BW</f>
        <v>0.41599999999999998</v>
      </c>
    </row>
    <row r="68" spans="1:12" x14ac:dyDescent="0.25">
      <c r="A68" s="1" t="s">
        <v>91</v>
      </c>
      <c r="B68" t="s">
        <v>84</v>
      </c>
      <c r="C68" t="s">
        <v>186</v>
      </c>
      <c r="D68">
        <v>1</v>
      </c>
      <c r="F68" t="s">
        <v>218</v>
      </c>
    </row>
    <row r="69" spans="1:12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12" x14ac:dyDescent="0.25">
      <c r="A70" s="1" t="s">
        <v>93</v>
      </c>
      <c r="B70" t="s">
        <v>255</v>
      </c>
      <c r="C70" t="s">
        <v>186</v>
      </c>
      <c r="D70">
        <v>1</v>
      </c>
      <c r="E70" s="4">
        <f>(((-0.005309*age+1.008*BW^0.493+BH^0.3765-7.952)+( 0.002331*age+0.1253*BW^0.8477+BH^0.3821-4.725))/(2*BW))-E67-E75</f>
        <v>9.9581643578766893E-2</v>
      </c>
      <c r="F70" t="s">
        <v>259</v>
      </c>
      <c r="G70" s="4">
        <f>E70*BW</f>
        <v>1.5933062972602703</v>
      </c>
    </row>
    <row r="71" spans="1:12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12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12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12" ht="15.75" thickBot="1" x14ac:dyDescent="0.3">
      <c r="A74" s="1" t="s">
        <v>97</v>
      </c>
      <c r="B74" t="s">
        <v>88</v>
      </c>
      <c r="C74" t="s">
        <v>186</v>
      </c>
      <c r="D74">
        <v>1</v>
      </c>
      <c r="E74" s="4">
        <v>7.0000000000000007E-2</v>
      </c>
      <c r="F74" s="4" t="s">
        <v>260</v>
      </c>
      <c r="G74" s="4">
        <f>E74*BW</f>
        <v>1.1200000000000001</v>
      </c>
      <c r="J74" t="s">
        <v>287</v>
      </c>
    </row>
    <row r="75" spans="1:12" ht="15.75" thickBot="1" x14ac:dyDescent="0.3">
      <c r="A75" s="1" t="s">
        <v>98</v>
      </c>
      <c r="B75" t="s">
        <v>253</v>
      </c>
      <c r="C75" t="s">
        <v>186</v>
      </c>
      <c r="D75">
        <v>1</v>
      </c>
      <c r="E75" s="4">
        <f>((4.214*BW^0.823)+(4.456*BW^0.795))/(BW*1000)</f>
        <v>5.1037420752262702E-3</v>
      </c>
      <c r="F75" s="4" t="s">
        <v>288</v>
      </c>
      <c r="G75" s="4">
        <f>E75*BW</f>
        <v>8.1659873203620323E-2</v>
      </c>
      <c r="J75" s="9"/>
      <c r="K75" s="10" t="s">
        <v>274</v>
      </c>
      <c r="L75" s="11"/>
    </row>
    <row r="76" spans="1:12" x14ac:dyDescent="0.25">
      <c r="A76" s="1" t="s">
        <v>151</v>
      </c>
      <c r="B76" t="s">
        <v>254</v>
      </c>
      <c r="C76" t="s">
        <v>186</v>
      </c>
      <c r="D76">
        <v>1</v>
      </c>
      <c r="E76" s="4">
        <f>1-SUM(E67:E75)</f>
        <v>0.79931461434600681</v>
      </c>
      <c r="F76" s="4" t="s">
        <v>271</v>
      </c>
      <c r="G76" s="7">
        <f>E76*BW</f>
        <v>12.789033829536109</v>
      </c>
      <c r="J76" s="12"/>
      <c r="K76" s="13" t="s">
        <v>275</v>
      </c>
      <c r="L76" s="14" t="s">
        <v>280</v>
      </c>
    </row>
    <row r="77" spans="1:12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  <c r="G77" s="7">
        <f>(360*(BW^0.74))/24</f>
        <v>116.71859368947428</v>
      </c>
      <c r="H77" t="s">
        <v>273</v>
      </c>
      <c r="J77" s="15" t="s">
        <v>276</v>
      </c>
      <c r="K77" s="13">
        <f>0.00119*BW-0.0004302</f>
        <v>1.8609800000000003E-2</v>
      </c>
      <c r="L77" s="14">
        <f>0.03*K77</f>
        <v>5.5829400000000009E-4</v>
      </c>
    </row>
    <row r="78" spans="1:12" x14ac:dyDescent="0.25">
      <c r="A78" s="1" t="s">
        <v>105</v>
      </c>
      <c r="B78" t="s">
        <v>99</v>
      </c>
      <c r="C78" t="s">
        <v>185</v>
      </c>
      <c r="D78">
        <v>0</v>
      </c>
      <c r="E78" s="4" cm="1">
        <f t="array" ref="E78">G78/Qct</f>
        <v>3.278997697815081E-3</v>
      </c>
      <c r="F78" t="s">
        <v>217</v>
      </c>
      <c r="G78" s="7">
        <f>0.92*G67</f>
        <v>0.38272</v>
      </c>
      <c r="J78" s="15" t="s">
        <v>277</v>
      </c>
      <c r="K78" s="13">
        <f>0.0000001017*((BH^0.6862*BW^0.3561*242.7+BH^0.664*BW^0.3851*242.7)/2)^1.42</f>
        <v>9.0660865954799885E-2</v>
      </c>
      <c r="L78" s="14">
        <f>0.845*K78</f>
        <v>7.6608431731805898E-2</v>
      </c>
    </row>
    <row r="79" spans="1:12" x14ac:dyDescent="0.25">
      <c r="A79" s="1" t="s">
        <v>106</v>
      </c>
      <c r="B79" t="s">
        <v>100</v>
      </c>
      <c r="C79" t="s">
        <v>185</v>
      </c>
      <c r="D79">
        <v>0</v>
      </c>
      <c r="F79" t="s">
        <v>218</v>
      </c>
      <c r="J79" s="15" t="s">
        <v>278</v>
      </c>
      <c r="K79" s="13">
        <f>((6.78*(surface/10000)^1.629-0.001492*age+3.58)+(0.2598*BW+0.1206*BH-0.0043*age-11.1)/1.04)/2</f>
        <v>6.2763645433826127</v>
      </c>
      <c r="L79" s="14">
        <f>0.03*K79</f>
        <v>0.18829093630147836</v>
      </c>
    </row>
    <row r="80" spans="1:12" ht="15.75" thickBot="1" x14ac:dyDescent="0.3">
      <c r="A80" s="1" t="s">
        <v>107</v>
      </c>
      <c r="B80" t="s">
        <v>173</v>
      </c>
      <c r="C80" t="s">
        <v>185</v>
      </c>
      <c r="D80">
        <v>0</v>
      </c>
      <c r="E80" s="5">
        <f>1-SUM(E78,E84:E86)</f>
        <v>0.76216599738664981</v>
      </c>
      <c r="F80" t="s">
        <v>259</v>
      </c>
      <c r="G80" s="7">
        <f>E80*Qct</f>
        <v>88.958943372905296</v>
      </c>
      <c r="H80" s="5" t="s">
        <v>256</v>
      </c>
      <c r="J80" s="15" t="s">
        <v>279</v>
      </c>
      <c r="K80" s="13">
        <f>SUM(K77:K79)</f>
        <v>6.3856352093374129</v>
      </c>
      <c r="L80" s="14">
        <f>SUM(L77:L79)</f>
        <v>0.26545766203328425</v>
      </c>
    </row>
    <row r="81" spans="1:14" ht="15.75" thickBot="1" x14ac:dyDescent="0.3">
      <c r="A81" s="1" t="s">
        <v>108</v>
      </c>
      <c r="B81" t="s">
        <v>155</v>
      </c>
      <c r="C81" t="s">
        <v>185</v>
      </c>
      <c r="D81">
        <v>0</v>
      </c>
      <c r="F81" t="s">
        <v>220</v>
      </c>
      <c r="J81" s="9"/>
      <c r="K81" s="16">
        <f>Vtf/K80</f>
        <v>2.002781776640687</v>
      </c>
      <c r="L81" s="11">
        <f>K81*L80</f>
        <v>0.53165376798990405</v>
      </c>
    </row>
    <row r="82" spans="1:14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  <c r="K82" s="17" t="s">
        <v>282</v>
      </c>
      <c r="L82" s="4" t="s">
        <v>285</v>
      </c>
      <c r="M82" s="4"/>
      <c r="N82" s="4"/>
    </row>
    <row r="83" spans="1:14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  <c r="K83" s="17" t="s">
        <v>283</v>
      </c>
      <c r="L83" s="4" t="s">
        <v>284</v>
      </c>
      <c r="M83" s="4"/>
      <c r="N83" s="4"/>
    </row>
    <row r="84" spans="1:14" x14ac:dyDescent="0.25">
      <c r="A84" s="1" t="s">
        <v>111</v>
      </c>
      <c r="B84" t="s">
        <v>103</v>
      </c>
      <c r="C84" t="s">
        <v>185</v>
      </c>
      <c r="D84">
        <v>0</v>
      </c>
      <c r="E84" s="6">
        <v>0.05</v>
      </c>
      <c r="F84" s="4" t="s">
        <v>260</v>
      </c>
      <c r="G84" s="7">
        <f>E84*Qct</f>
        <v>5.8359296844737143</v>
      </c>
      <c r="H84" s="6" t="s">
        <v>261</v>
      </c>
      <c r="I84" s="6"/>
      <c r="J84" s="6"/>
      <c r="K84" s="6"/>
    </row>
    <row r="85" spans="1:14" x14ac:dyDescent="0.25">
      <c r="A85" s="1" t="s">
        <v>112</v>
      </c>
      <c r="B85" t="s">
        <v>257</v>
      </c>
      <c r="C85" t="s">
        <v>185</v>
      </c>
      <c r="D85">
        <v>0</v>
      </c>
      <c r="E85" s="4">
        <v>0.18</v>
      </c>
      <c r="F85" s="4" t="s">
        <v>288</v>
      </c>
      <c r="G85" s="7">
        <f>E85*Qct</f>
        <v>21.009346864105368</v>
      </c>
      <c r="H85" s="6" t="s">
        <v>261</v>
      </c>
      <c r="I85" s="6"/>
      <c r="J85" s="6"/>
      <c r="K85" s="6"/>
    </row>
    <row r="86" spans="1:14" x14ac:dyDescent="0.25">
      <c r="A86" s="1" t="s">
        <v>153</v>
      </c>
      <c r="B86" t="s">
        <v>154</v>
      </c>
      <c r="C86" t="s">
        <v>185</v>
      </c>
      <c r="D86">
        <v>0</v>
      </c>
      <c r="E86" s="4">
        <f>G86/Qct</f>
        <v>4.5550049155351395E-3</v>
      </c>
      <c r="F86" s="4" t="s">
        <v>271</v>
      </c>
      <c r="G86" s="7">
        <f>L81</f>
        <v>0.53165376798990405</v>
      </c>
    </row>
    <row r="87" spans="1:14" x14ac:dyDescent="0.25">
      <c r="A87" s="1" t="s">
        <v>121</v>
      </c>
      <c r="B87" t="s">
        <v>113</v>
      </c>
      <c r="D87">
        <v>1</v>
      </c>
      <c r="F87" t="s">
        <v>215</v>
      </c>
    </row>
    <row r="88" spans="1:14" x14ac:dyDescent="0.25">
      <c r="A88" s="1" t="s">
        <v>122</v>
      </c>
      <c r="B88" t="s">
        <v>211</v>
      </c>
      <c r="D88">
        <v>1</v>
      </c>
      <c r="F88" t="s">
        <v>216</v>
      </c>
      <c r="G88" s="4" t="s">
        <v>286</v>
      </c>
      <c r="H88" s="4"/>
    </row>
    <row r="89" spans="1:14" x14ac:dyDescent="0.25">
      <c r="A89" s="1" t="s">
        <v>123</v>
      </c>
      <c r="B89" t="s">
        <v>114</v>
      </c>
      <c r="D89">
        <v>1</v>
      </c>
      <c r="E89" s="7">
        <f>G89*1.333</f>
        <v>1.3063399999999998</v>
      </c>
      <c r="F89" t="s">
        <v>217</v>
      </c>
      <c r="G89">
        <v>0.98</v>
      </c>
    </row>
    <row r="90" spans="1:14" x14ac:dyDescent="0.25">
      <c r="A90" s="1" t="s">
        <v>124</v>
      </c>
      <c r="B90" t="s">
        <v>115</v>
      </c>
      <c r="D90">
        <v>1</v>
      </c>
      <c r="E90" s="19"/>
      <c r="F90" t="s">
        <v>218</v>
      </c>
    </row>
    <row r="91" spans="1:14" x14ac:dyDescent="0.25">
      <c r="A91" s="1" t="s">
        <v>125</v>
      </c>
      <c r="B91" t="s">
        <v>172</v>
      </c>
      <c r="D91">
        <v>1</v>
      </c>
      <c r="E91" s="7">
        <f t="shared" ref="E90:E91" si="0">G91*1.333</f>
        <v>1.10639</v>
      </c>
      <c r="F91" t="s">
        <v>259</v>
      </c>
      <c r="G91">
        <v>0.83</v>
      </c>
    </row>
    <row r="92" spans="1:14" x14ac:dyDescent="0.25">
      <c r="A92" s="1" t="s">
        <v>126</v>
      </c>
      <c r="B92" t="s">
        <v>158</v>
      </c>
      <c r="D92">
        <v>1</v>
      </c>
      <c r="E92" s="18"/>
      <c r="F92" t="s">
        <v>220</v>
      </c>
    </row>
    <row r="93" spans="1:14" x14ac:dyDescent="0.25">
      <c r="A93" s="1" t="s">
        <v>127</v>
      </c>
      <c r="B93" t="s">
        <v>116</v>
      </c>
      <c r="D93">
        <v>1</v>
      </c>
      <c r="E93" s="18"/>
      <c r="F93" t="s">
        <v>221</v>
      </c>
    </row>
    <row r="94" spans="1:14" x14ac:dyDescent="0.25">
      <c r="A94" s="1" t="s">
        <v>128</v>
      </c>
      <c r="B94" t="s">
        <v>117</v>
      </c>
      <c r="D94">
        <v>1</v>
      </c>
      <c r="E94" s="18"/>
      <c r="F94" t="s">
        <v>222</v>
      </c>
    </row>
    <row r="95" spans="1:14" x14ac:dyDescent="0.25">
      <c r="A95" s="1" t="s">
        <v>129</v>
      </c>
      <c r="B95" t="s">
        <v>118</v>
      </c>
      <c r="D95">
        <v>1</v>
      </c>
      <c r="E95" s="7">
        <f t="shared" ref="E95:E96" si="1">G95*1.333</f>
        <v>1333</v>
      </c>
      <c r="F95" s="4" t="s">
        <v>260</v>
      </c>
      <c r="G95">
        <v>1000</v>
      </c>
    </row>
    <row r="96" spans="1:14" x14ac:dyDescent="0.25">
      <c r="A96" s="1" t="s">
        <v>130</v>
      </c>
      <c r="B96" t="s">
        <v>131</v>
      </c>
      <c r="D96">
        <v>1</v>
      </c>
      <c r="E96" s="7">
        <f t="shared" si="1"/>
        <v>5.54528</v>
      </c>
      <c r="F96" s="4" t="s">
        <v>288</v>
      </c>
      <c r="G96">
        <v>4.16</v>
      </c>
    </row>
    <row r="97" spans="1:7" x14ac:dyDescent="0.25">
      <c r="A97" s="1" t="s">
        <v>156</v>
      </c>
      <c r="B97" t="s">
        <v>157</v>
      </c>
      <c r="D97">
        <v>1</v>
      </c>
      <c r="E97" s="7">
        <f t="shared" ref="E96:E97" si="2">G97*1.333</f>
        <v>0.83979000000000004</v>
      </c>
      <c r="F97" s="4" t="s">
        <v>271</v>
      </c>
      <c r="G97">
        <v>0.63</v>
      </c>
    </row>
    <row r="99" spans="1:7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7" x14ac:dyDescent="0.25">
      <c r="A100" s="1" t="s">
        <v>34</v>
      </c>
      <c r="B100" t="s">
        <v>35</v>
      </c>
    </row>
    <row r="102" spans="1:7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7" x14ac:dyDescent="0.25">
      <c r="A103" s="1" t="s">
        <v>73</v>
      </c>
      <c r="B103" t="s">
        <v>74</v>
      </c>
    </row>
    <row r="104" spans="1:7" x14ac:dyDescent="0.25">
      <c r="A104" s="1" t="s">
        <v>75</v>
      </c>
      <c r="B104" t="s">
        <v>76</v>
      </c>
    </row>
    <row r="105" spans="1:7" x14ac:dyDescent="0.25">
      <c r="A105" s="1" t="s">
        <v>77</v>
      </c>
      <c r="B105" t="s">
        <v>78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FCFD-82CD-436F-B981-3C7AACA19280}">
  <dimension ref="A1:J105"/>
  <sheetViews>
    <sheetView topLeftCell="A21" zoomScaleNormal="100" workbookViewId="0">
      <selection activeCell="F25" sqref="F25:I30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262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/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0.95599999999999996</v>
      </c>
    </row>
    <row r="18" spans="1:9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9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9" x14ac:dyDescent="0.25">
      <c r="A20" s="1" t="s">
        <v>27</v>
      </c>
      <c r="B20" t="s">
        <v>28</v>
      </c>
      <c r="D20">
        <v>0.75</v>
      </c>
      <c r="E20">
        <v>0.74</v>
      </c>
    </row>
    <row r="21" spans="1:9" x14ac:dyDescent="0.25">
      <c r="A21" s="1" t="s">
        <v>29</v>
      </c>
      <c r="B21" t="s">
        <v>30</v>
      </c>
      <c r="D21">
        <v>0.75</v>
      </c>
    </row>
    <row r="22" spans="1:9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9" x14ac:dyDescent="0.25">
      <c r="A23" s="1" t="s">
        <v>31</v>
      </c>
      <c r="B23" t="s">
        <v>228</v>
      </c>
      <c r="D23">
        <v>-0.25</v>
      </c>
    </row>
    <row r="24" spans="1:9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9" x14ac:dyDescent="0.25">
      <c r="A25" s="1" t="s">
        <v>42</v>
      </c>
      <c r="B25" t="s">
        <v>43</v>
      </c>
      <c r="D25">
        <v>0</v>
      </c>
      <c r="F25" s="4">
        <v>25</v>
      </c>
      <c r="G25" s="4" t="s">
        <v>263</v>
      </c>
    </row>
    <row r="26" spans="1:9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8</v>
      </c>
      <c r="G26" s="4" t="s">
        <v>250</v>
      </c>
      <c r="H26" s="4"/>
      <c r="I26" s="4"/>
    </row>
    <row r="27" spans="1:9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30.6*EXP(-0.166*F$26)*(60/1000)*(F25^0.75)</f>
        <v>5.439821026844017</v>
      </c>
      <c r="G27" s="4" t="s">
        <v>267</v>
      </c>
      <c r="H27" s="4"/>
      <c r="I27" s="4"/>
    </row>
    <row r="28" spans="1:9" x14ac:dyDescent="0.25">
      <c r="A28" s="1" t="s">
        <v>47</v>
      </c>
      <c r="B28" t="s">
        <v>48</v>
      </c>
      <c r="C28" t="s">
        <v>190</v>
      </c>
      <c r="D28">
        <v>0</v>
      </c>
      <c r="F28" s="4">
        <f>F27/(F25^0.75)</f>
        <v>0.48655238405823736</v>
      </c>
      <c r="G28" s="4" t="s">
        <v>264</v>
      </c>
      <c r="H28" s="4"/>
      <c r="I28" s="4"/>
    </row>
    <row r="29" spans="1:9" x14ac:dyDescent="0.25">
      <c r="A29" s="1" t="s">
        <v>140</v>
      </c>
      <c r="B29" t="s">
        <v>49</v>
      </c>
      <c r="C29" t="s">
        <v>190</v>
      </c>
      <c r="D29">
        <v>0</v>
      </c>
      <c r="F29" s="4">
        <f>0.1 + 0.0222*F26</f>
        <v>0.27760000000000001</v>
      </c>
      <c r="G29" s="4" t="s">
        <v>251</v>
      </c>
      <c r="H29" s="4"/>
      <c r="I29" s="4"/>
    </row>
    <row r="30" spans="1:9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0.9-0.0222*F26</f>
        <v>0.72240000000000004</v>
      </c>
      <c r="G30" s="4" t="s">
        <v>252</v>
      </c>
      <c r="H30" s="4"/>
      <c r="I30" s="4"/>
    </row>
    <row r="31" spans="1:9" x14ac:dyDescent="0.25">
      <c r="A31" s="1" t="s">
        <v>142</v>
      </c>
      <c r="B31" t="s">
        <v>50</v>
      </c>
      <c r="C31" t="s">
        <v>190</v>
      </c>
      <c r="D31">
        <v>0</v>
      </c>
    </row>
    <row r="32" spans="1:9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7" x14ac:dyDescent="0.25">
      <c r="A33" s="1" t="s">
        <v>52</v>
      </c>
      <c r="B33" t="s">
        <v>206</v>
      </c>
      <c r="C33" t="s">
        <v>36</v>
      </c>
      <c r="D33">
        <v>0</v>
      </c>
    </row>
    <row r="34" spans="1:7" x14ac:dyDescent="0.25">
      <c r="A34" s="1" t="s">
        <v>53</v>
      </c>
      <c r="B34" t="s">
        <v>207</v>
      </c>
      <c r="C34" t="s">
        <v>36</v>
      </c>
      <c r="D34">
        <v>0</v>
      </c>
    </row>
    <row r="35" spans="1:7" x14ac:dyDescent="0.25">
      <c r="A35" s="1" t="s">
        <v>54</v>
      </c>
      <c r="B35" t="s">
        <v>55</v>
      </c>
      <c r="C35" t="s">
        <v>36</v>
      </c>
      <c r="D35">
        <v>0</v>
      </c>
    </row>
    <row r="36" spans="1:7" x14ac:dyDescent="0.25">
      <c r="A36" s="1" t="s">
        <v>165</v>
      </c>
      <c r="B36" t="s">
        <v>166</v>
      </c>
      <c r="C36" t="s">
        <v>190</v>
      </c>
      <c r="D36">
        <v>0</v>
      </c>
      <c r="E36" s="4">
        <f>F28*F29</f>
        <v>0.13506694181456669</v>
      </c>
      <c r="F36" t="s">
        <v>235</v>
      </c>
    </row>
    <row r="37" spans="1:7" x14ac:dyDescent="0.25">
      <c r="A37" s="1" t="s">
        <v>56</v>
      </c>
      <c r="B37" t="s">
        <v>167</v>
      </c>
      <c r="C37" t="s">
        <v>190</v>
      </c>
      <c r="D37">
        <v>0</v>
      </c>
      <c r="F37">
        <f>E36*F$25^0.75</f>
        <v>1.5100943170518992</v>
      </c>
      <c r="G37" t="s">
        <v>265</v>
      </c>
    </row>
    <row r="38" spans="1:7" x14ac:dyDescent="0.25">
      <c r="A38" s="1" t="s">
        <v>237</v>
      </c>
      <c r="B38" t="s">
        <v>57</v>
      </c>
      <c r="C38" t="s">
        <v>46</v>
      </c>
      <c r="D38">
        <v>1</v>
      </c>
    </row>
    <row r="39" spans="1:7" x14ac:dyDescent="0.25">
      <c r="A39" s="1" t="s">
        <v>236</v>
      </c>
      <c r="B39" t="s">
        <v>58</v>
      </c>
      <c r="C39" t="s">
        <v>59</v>
      </c>
      <c r="D39">
        <v>0</v>
      </c>
    </row>
    <row r="40" spans="1:7" x14ac:dyDescent="0.25">
      <c r="A40" s="1" t="s">
        <v>238</v>
      </c>
      <c r="B40" t="s">
        <v>60</v>
      </c>
      <c r="C40" t="s">
        <v>36</v>
      </c>
      <c r="D40">
        <v>0</v>
      </c>
    </row>
    <row r="41" spans="1:7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7" x14ac:dyDescent="0.25">
      <c r="A42" s="1" t="s">
        <v>144</v>
      </c>
      <c r="B42" t="s">
        <v>62</v>
      </c>
      <c r="C42" t="s">
        <v>46</v>
      </c>
      <c r="D42">
        <v>1</v>
      </c>
    </row>
    <row r="43" spans="1:7" x14ac:dyDescent="0.25">
      <c r="A43" s="1" t="s">
        <v>145</v>
      </c>
      <c r="B43" t="s">
        <v>63</v>
      </c>
      <c r="C43" t="s">
        <v>244</v>
      </c>
      <c r="D43">
        <v>0</v>
      </c>
    </row>
    <row r="44" spans="1:7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7" x14ac:dyDescent="0.25">
      <c r="A45" s="1" t="s">
        <v>147</v>
      </c>
      <c r="B45" t="s">
        <v>65</v>
      </c>
      <c r="C45" t="s">
        <v>46</v>
      </c>
      <c r="D45">
        <v>1</v>
      </c>
    </row>
    <row r="46" spans="1:7" x14ac:dyDescent="0.25">
      <c r="A46" s="1" t="s">
        <v>203</v>
      </c>
      <c r="B46" t="s">
        <v>204</v>
      </c>
      <c r="C46" t="s">
        <v>244</v>
      </c>
      <c r="D46">
        <v>0</v>
      </c>
      <c r="E46" s="4"/>
      <c r="F46">
        <f>F27*F30</f>
        <v>3.929726709792118</v>
      </c>
      <c r="G46" t="s">
        <v>266</v>
      </c>
    </row>
    <row r="47" spans="1:7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7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6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6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</row>
    <row r="67" spans="1:6" x14ac:dyDescent="0.25">
      <c r="A67" s="1" t="s">
        <v>90</v>
      </c>
      <c r="B67" t="s">
        <v>83</v>
      </c>
      <c r="C67" t="s">
        <v>186</v>
      </c>
      <c r="D67">
        <v>1</v>
      </c>
      <c r="E67">
        <v>2.5999999999999999E-2</v>
      </c>
      <c r="F67" t="s">
        <v>217</v>
      </c>
    </row>
    <row r="68" spans="1:6" x14ac:dyDescent="0.25">
      <c r="A68" s="1" t="s">
        <v>91</v>
      </c>
      <c r="B68" t="s">
        <v>84</v>
      </c>
      <c r="C68" t="s">
        <v>186</v>
      </c>
      <c r="D68">
        <v>1</v>
      </c>
      <c r="E68">
        <v>4.0000000000000001E-3</v>
      </c>
      <c r="F68" t="s">
        <v>218</v>
      </c>
    </row>
    <row r="69" spans="1:6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6" x14ac:dyDescent="0.25">
      <c r="A70" s="1" t="s">
        <v>93</v>
      </c>
      <c r="B70" t="s">
        <v>255</v>
      </c>
      <c r="C70" t="s">
        <v>186</v>
      </c>
      <c r="D70">
        <v>1</v>
      </c>
      <c r="E70">
        <v>3.5999999999999997E-2</v>
      </c>
      <c r="F70" t="s">
        <v>259</v>
      </c>
    </row>
    <row r="71" spans="1:6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6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6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6" x14ac:dyDescent="0.25">
      <c r="A74" s="1" t="s">
        <v>97</v>
      </c>
      <c r="B74" t="s">
        <v>88</v>
      </c>
      <c r="C74" t="s">
        <v>186</v>
      </c>
      <c r="D74">
        <v>1</v>
      </c>
      <c r="F74" t="s">
        <v>223</v>
      </c>
    </row>
    <row r="75" spans="1:6" x14ac:dyDescent="0.25">
      <c r="A75" s="1" t="s">
        <v>98</v>
      </c>
      <c r="B75" t="s">
        <v>253</v>
      </c>
      <c r="C75" t="s">
        <v>186</v>
      </c>
      <c r="D75">
        <v>1</v>
      </c>
      <c r="E75">
        <v>7.0000000000000007E-2</v>
      </c>
      <c r="F75" t="s">
        <v>224</v>
      </c>
    </row>
    <row r="76" spans="1:6" x14ac:dyDescent="0.25">
      <c r="A76" s="1" t="s">
        <v>151</v>
      </c>
      <c r="B76" t="s">
        <v>254</v>
      </c>
      <c r="C76" t="s">
        <v>186</v>
      </c>
      <c r="D76">
        <v>1</v>
      </c>
      <c r="E76">
        <v>0.82</v>
      </c>
      <c r="F76" t="s">
        <v>225</v>
      </c>
    </row>
    <row r="77" spans="1:6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</row>
    <row r="78" spans="1:6" x14ac:dyDescent="0.25">
      <c r="A78" s="1" t="s">
        <v>105</v>
      </c>
      <c r="B78" t="s">
        <v>99</v>
      </c>
      <c r="C78" t="s">
        <v>185</v>
      </c>
      <c r="D78">
        <v>0</v>
      </c>
      <c r="E78">
        <v>0.24</v>
      </c>
      <c r="F78" t="s">
        <v>217</v>
      </c>
    </row>
    <row r="79" spans="1:6" x14ac:dyDescent="0.25">
      <c r="A79" s="1" t="s">
        <v>106</v>
      </c>
      <c r="B79" t="s">
        <v>100</v>
      </c>
      <c r="C79" t="s">
        <v>185</v>
      </c>
      <c r="D79">
        <v>0</v>
      </c>
      <c r="E79">
        <v>0.15</v>
      </c>
      <c r="F79" t="s">
        <v>218</v>
      </c>
    </row>
    <row r="80" spans="1:6" x14ac:dyDescent="0.25">
      <c r="A80" s="1" t="s">
        <v>107</v>
      </c>
      <c r="B80" t="s">
        <v>173</v>
      </c>
      <c r="C80" t="s">
        <v>185</v>
      </c>
      <c r="D80">
        <v>0</v>
      </c>
      <c r="E80">
        <v>0.36</v>
      </c>
      <c r="F80" t="s">
        <v>259</v>
      </c>
    </row>
    <row r="81" spans="1:10" x14ac:dyDescent="0.25">
      <c r="A81" s="1" t="s">
        <v>108</v>
      </c>
      <c r="B81" t="s">
        <v>155</v>
      </c>
      <c r="C81" t="s">
        <v>185</v>
      </c>
      <c r="D81">
        <v>0</v>
      </c>
      <c r="F81" t="s">
        <v>220</v>
      </c>
    </row>
    <row r="82" spans="1:10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</row>
    <row r="83" spans="1:10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</row>
    <row r="84" spans="1:10" x14ac:dyDescent="0.25">
      <c r="A84" s="1" t="s">
        <v>111</v>
      </c>
      <c r="B84" t="s">
        <v>103</v>
      </c>
      <c r="C84" t="s">
        <v>185</v>
      </c>
      <c r="D84">
        <v>0</v>
      </c>
      <c r="F84" t="s">
        <v>223</v>
      </c>
    </row>
    <row r="85" spans="1:10" x14ac:dyDescent="0.25">
      <c r="A85" s="1" t="s">
        <v>112</v>
      </c>
      <c r="B85" t="s">
        <v>257</v>
      </c>
      <c r="C85" t="s">
        <v>185</v>
      </c>
      <c r="D85">
        <v>0</v>
      </c>
      <c r="E85" s="6">
        <v>0.05</v>
      </c>
      <c r="F85" t="s">
        <v>260</v>
      </c>
      <c r="G85" s="6" t="s">
        <v>261</v>
      </c>
      <c r="H85" s="6"/>
      <c r="I85" s="6"/>
      <c r="J85" s="6"/>
    </row>
    <row r="86" spans="1:10" x14ac:dyDescent="0.25">
      <c r="A86" s="1" t="s">
        <v>153</v>
      </c>
      <c r="B86" t="s">
        <v>154</v>
      </c>
      <c r="C86" t="s">
        <v>185</v>
      </c>
      <c r="D86">
        <v>0</v>
      </c>
      <c r="E86" s="5">
        <f>1-SUM(E78:E85)</f>
        <v>0.19999999999999996</v>
      </c>
      <c r="F86" t="s">
        <v>225</v>
      </c>
      <c r="G86" s="5" t="s">
        <v>256</v>
      </c>
      <c r="H86" s="5"/>
    </row>
    <row r="87" spans="1:10" x14ac:dyDescent="0.25">
      <c r="A87" s="1" t="s">
        <v>121</v>
      </c>
      <c r="B87" t="s">
        <v>113</v>
      </c>
      <c r="D87">
        <v>1</v>
      </c>
      <c r="F87" t="s">
        <v>215</v>
      </c>
    </row>
    <row r="88" spans="1:10" x14ac:dyDescent="0.25">
      <c r="A88" s="1" t="s">
        <v>122</v>
      </c>
      <c r="B88" t="s">
        <v>211</v>
      </c>
      <c r="D88">
        <v>1</v>
      </c>
      <c r="F88" t="s">
        <v>216</v>
      </c>
    </row>
    <row r="89" spans="1:10" x14ac:dyDescent="0.25">
      <c r="A89" s="1" t="s">
        <v>123</v>
      </c>
      <c r="B89" t="s">
        <v>114</v>
      </c>
      <c r="D89">
        <v>1</v>
      </c>
      <c r="E89">
        <v>0.98</v>
      </c>
      <c r="F89" t="s">
        <v>217</v>
      </c>
    </row>
    <row r="90" spans="1:10" x14ac:dyDescent="0.25">
      <c r="A90" s="1" t="s">
        <v>124</v>
      </c>
      <c r="B90" t="s">
        <v>115</v>
      </c>
      <c r="D90">
        <v>1</v>
      </c>
      <c r="E90">
        <v>4.16</v>
      </c>
      <c r="F90" t="s">
        <v>218</v>
      </c>
    </row>
    <row r="91" spans="1:10" x14ac:dyDescent="0.25">
      <c r="A91" s="1" t="s">
        <v>125</v>
      </c>
      <c r="B91" t="s">
        <v>172</v>
      </c>
      <c r="D91">
        <v>1</v>
      </c>
      <c r="E91">
        <v>0.83</v>
      </c>
      <c r="F91" t="s">
        <v>259</v>
      </c>
    </row>
    <row r="92" spans="1:10" x14ac:dyDescent="0.25">
      <c r="A92" s="1" t="s">
        <v>126</v>
      </c>
      <c r="B92" t="s">
        <v>158</v>
      </c>
      <c r="D92">
        <v>1</v>
      </c>
      <c r="F92" t="s">
        <v>220</v>
      </c>
    </row>
    <row r="93" spans="1:10" x14ac:dyDescent="0.25">
      <c r="A93" s="1" t="s">
        <v>127</v>
      </c>
      <c r="B93" t="s">
        <v>116</v>
      </c>
      <c r="D93">
        <v>1</v>
      </c>
      <c r="F93" t="s">
        <v>221</v>
      </c>
    </row>
    <row r="94" spans="1:10" x14ac:dyDescent="0.25">
      <c r="A94" s="1" t="s">
        <v>128</v>
      </c>
      <c r="B94" t="s">
        <v>117</v>
      </c>
      <c r="D94">
        <v>1</v>
      </c>
      <c r="F94" t="s">
        <v>222</v>
      </c>
    </row>
    <row r="95" spans="1:10" x14ac:dyDescent="0.25">
      <c r="A95" s="1" t="s">
        <v>129</v>
      </c>
      <c r="B95" t="s">
        <v>118</v>
      </c>
      <c r="D95">
        <v>1</v>
      </c>
      <c r="F95" t="s">
        <v>223</v>
      </c>
    </row>
    <row r="96" spans="1:10" x14ac:dyDescent="0.25">
      <c r="A96" s="1" t="s">
        <v>130</v>
      </c>
      <c r="B96" t="s">
        <v>131</v>
      </c>
      <c r="D96">
        <v>1</v>
      </c>
      <c r="E96">
        <v>1000</v>
      </c>
      <c r="F96" t="s">
        <v>224</v>
      </c>
    </row>
    <row r="97" spans="1:6" x14ac:dyDescent="0.25">
      <c r="A97" s="1" t="s">
        <v>156</v>
      </c>
      <c r="B97" t="s">
        <v>157</v>
      </c>
      <c r="D97">
        <v>1</v>
      </c>
      <c r="E97">
        <v>0.63</v>
      </c>
      <c r="F97" t="s">
        <v>225</v>
      </c>
    </row>
    <row r="99" spans="1:6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6" x14ac:dyDescent="0.25">
      <c r="A100" s="1" t="s">
        <v>34</v>
      </c>
      <c r="B100" t="s">
        <v>35</v>
      </c>
    </row>
    <row r="102" spans="1:6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6" x14ac:dyDescent="0.25">
      <c r="A103" s="1" t="s">
        <v>73</v>
      </c>
      <c r="B103" t="s">
        <v>74</v>
      </c>
    </row>
    <row r="104" spans="1:6" x14ac:dyDescent="0.25">
      <c r="A104" s="1" t="s">
        <v>75</v>
      </c>
      <c r="B104" t="s">
        <v>76</v>
      </c>
    </row>
    <row r="105" spans="1:6" x14ac:dyDescent="0.2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0A172F1-773B-43BF-8B86-8CD1537A96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HeadingPairs>
  <TitlesOfParts>
    <vt:vector size="12" baseType="lpstr">
      <vt:lpstr>Human4yo</vt:lpstr>
      <vt:lpstr>Human8yo</vt:lpstr>
      <vt:lpstr>Human4yo!age</vt:lpstr>
      <vt:lpstr>Human4yo!BH</vt:lpstr>
      <vt:lpstr>Human4yo!BW</vt:lpstr>
      <vt:lpstr>Human8yo!BW</vt:lpstr>
      <vt:lpstr>Human4yo!CLp</vt:lpstr>
      <vt:lpstr>PC</vt:lpstr>
      <vt:lpstr>Human4yo!Qct</vt:lpstr>
      <vt:lpstr>Human4yo!surface</vt:lpstr>
      <vt:lpstr>Human4yo!Vtf</vt:lpstr>
      <vt:lpstr>Vtf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2026-03-06T15:23:33Z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