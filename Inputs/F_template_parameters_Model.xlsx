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79" documentId="8_{7F8D94C6-EC2B-4A79-A22A-AD1B7807B962}" xr6:coauthVersionLast="47" xr6:coauthVersionMax="47" xr10:uidLastSave="{30F759E8-85C1-4626-9B42-4EAF079863C5}"/>
  <bookViews>
    <workbookView xWindow="-25515" yWindow="885" windowWidth="21825" windowHeight="12915" xr2:uid="{089E7848-11EB-427A-89EA-83825F220BA0}"/>
  </bookViews>
  <sheets>
    <sheet name="Parameter_Set_1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6" i="9" l="1"/>
  <c r="E15" i="9" s="1"/>
  <c r="E24" i="9"/>
  <c r="E46" i="9"/>
  <c r="E36" i="9"/>
  <c r="F30" i="9"/>
  <c r="F29" i="9"/>
  <c r="F28" i="9"/>
  <c r="F27" i="9"/>
  <c r="E16" i="9"/>
</calcChain>
</file>

<file path=xl/sharedStrings.xml><?xml version="1.0" encoding="utf-8"?>
<sst xmlns="http://schemas.openxmlformats.org/spreadsheetml/2006/main" count="353" uniqueCount="265">
  <si>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</si>
  <si>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</si>
  <si>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</si>
  <si>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</si>
  <si>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</si>
  <si>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</si>
  <si>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</si>
  <si>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</si>
  <si>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</si>
  <si>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</si>
  <si>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</si>
  <si>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</si>
  <si>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</si>
  <si>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</si>
  <si>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</si>
  <si>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</si>
  <si>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</si>
  <si>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</si>
  <si>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</si>
  <si>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</si>
  <si>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</si>
  <si>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</si>
  <si>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</si>
  <si>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</si>
  <si>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</si>
  <si>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</si>
  <si>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</si>
  <si>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</si>
  <si>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</si>
  <si>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</si>
  <si>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</si>
  <si>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</si>
  <si>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</si>
  <si>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</si>
  <si>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</si>
  <si>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</si>
  <si>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</si>
  <si>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</si>
  <si>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</si>
  <si>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</si>
  <si>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</si>
  <si>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</si>
  <si>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</si>
  <si>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</si>
  <si>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</si>
  <si>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</si>
  <si>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</si>
  <si>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</si>
  <si>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</si>
  <si>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</si>
  <si>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</si>
  <si>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</si>
  <si>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</si>
  <si>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</si>
  <si>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</si>
  <si>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</si>
  <si>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</si>
  <si>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</si>
  <si>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</si>
  <si>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</si>
  <si>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</si>
  <si>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</si>
  <si>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</si>
  <si>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</si>
  <si>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</si>
  <si>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</si>
  <si>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</si>
  <si>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</si>
  <si>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</si>
  <si>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</si>
  <si>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</si>
  <si>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</si>
  <si>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</si>
  <si>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</si>
  <si>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</si>
  <si>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</si>
  <si>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</si>
  <si>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</si>
  <si>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</si>
  <si>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</si>
  <si>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</si>
  <si>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</si>
  <si>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</si>
  <si>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</si>
  <si>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</si>
  <si>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</si>
  <si>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</si>
  <si>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</si>
  <si>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</si>
  <si>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</si>
  <si>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</si>
  <si>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</si>
  <si>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</si>
  <si>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</si>
  <si>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</si>
  <si>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</si>
  <si>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</si>
  <si>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</si>
  <si>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</si>
  <si>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</si>
  <si>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</si>
  <si>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</si>
  <si>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</si>
  <si>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</si>
  <si>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</si>
  <si>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</si>
  <si>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</si>
  <si>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</si>
  <si>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</si>
  <si>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</si>
  <si>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</si>
  <si>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</si>
  <si>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</si>
  <si>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</si>
  <si>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</si>
  <si>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</si>
  <si>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</si>
  <si>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</si>
  <si>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</si>
  <si>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</si>
  <si>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</si>
  <si>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</si>
  <si>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</si>
  <si>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</si>
  <si>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</si>
  <si>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</si>
  <si>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</si>
  <si>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</si>
  <si>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</si>
  <si>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</si>
  <si>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</si>
  <si>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</si>
  <si>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</si>
  <si>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</si>
  <si>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</si>
  <si>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</si>
  <si>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</si>
  <si>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</si>
  <si>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</si>
  <si>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</si>
  <si>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</si>
  <si>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</si>
  <si>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</si>
  <si>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</si>
  <si>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</si>
  <si>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</si>
  <si>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</si>
  <si>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</si>
  <si>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</si>
  <si>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</si>
  <si>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</si>
  <si>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</si>
  <si>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</si>
  <si>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</si>
  <si>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</si>
  <si>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</si>
  <si>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</si>
  <si>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</si>
  <si>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</si>
  <si>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</si>
  <si>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</si>
  <si>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</si>
  <si>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</si>
  <si>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</si>
  <si>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</si>
  <si>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</si>
  <si>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</si>
  <si>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</si>
  <si>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</si>
  <si>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</si>
  <si>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</si>
  <si>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</si>
  <si>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</si>
  <si>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</si>
  <si>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</si>
  <si>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</si>
  <si>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</si>
  <si>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</si>
  <si>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</si>
  <si>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</si>
  <si>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</si>
  <si>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</si>
  <si>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</si>
  <si>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</si>
  <si>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</si>
  <si>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</si>
  <si>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</si>
  <si>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</si>
  <si>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</si>
  <si>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</si>
  <si>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</si>
  <si>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</si>
  <si>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</si>
  <si>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</si>
  <si>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</si>
  <si>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</si>
  <si>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</si>
  <si>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</si>
  <si>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</si>
  <si>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</si>
  <si>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</si>
  <si>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</si>
  <si>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</si>
  <si>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</si>
  <si>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</si>
  <si>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</si>
  <si>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</si>
  <si>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</si>
  <si>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</si>
  <si>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</si>
  <si>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</si>
  <si>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</si>
  <si>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</si>
  <si>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</si>
  <si>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</si>
  <si>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</si>
  <si>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</si>
  <si>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</si>
  <si>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</si>
  <si>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</si>
  <si>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</si>
  <si>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</si>
  <si>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</si>
  <si>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</si>
  <si>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</si>
  <si>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</si>
  <si>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</si>
  <si>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</si>
  <si>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</si>
  <si>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</si>
  <si>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</si>
  <si>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</si>
  <si>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</si>
  <si>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</si>
  <si>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</si>
  <si>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</si>
  <si>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</si>
  <si>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</si>
  <si>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</si>
  <si>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</si>
  <si>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</si>
  <si>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</si>
  <si>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</si>
  <si>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</si>
  <si>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</si>
  <si>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</si>
  <si>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</si>
  <si>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</si>
  <si>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</si>
  <si>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</si>
  <si>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Total plasma CL (L/h ~ kg/h; adult, Rao 1996)</t>
  </si>
  <si>
    <t>age (years)</t>
  </si>
  <si>
    <t>Fraction urinary clearance</t>
  </si>
  <si>
    <t>(kg^0.25/h), " scaled to 70^0.75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</si>
  <si>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</si>
  <si>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</si>
  <si>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</si>
  <si>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</si>
  <si>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.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</si>
  <si>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</si>
  <si>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</si>
  <si>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</si>
  <si>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</si>
  <si>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</si>
  <si>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0.05 for children, 0.03 for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</si>
</sst>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10" Type="http://schemas.openxmlformats.org/officeDocument/2006/relationships/customXml" Target="../customXml/item4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J105"/>
  <sheetViews>
    <sheetView tabSelected="1" topLeftCell="A67" zoomScaleNormal="100" workbookViewId="0">
      <selection activeCell="I81" sqref="I81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0.96</v>
      </c>
    </row>
    <row r="18" spans="1:10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25">
      <c r="A20" s="1" t="s">
        <v>27</v>
      </c>
      <c r="B20" t="s">
        <v>28</v>
      </c>
      <c r="D20">
        <v>0.75</v>
      </c>
      <c r="E20">
        <v>0.74</v>
      </c>
    </row>
    <row r="21" spans="1:10" x14ac:dyDescent="0.25">
      <c r="A21" s="1" t="s">
        <v>29</v>
      </c>
      <c r="B21" t="s">
        <v>30</v>
      </c>
      <c r="D21">
        <v>0.75</v>
      </c>
      <c r="E21" t="s">
        <v>258</v>
      </c>
    </row>
    <row r="22" spans="1:10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25">
      <c r="A23" s="1" t="s">
        <v>31</v>
      </c>
      <c r="B23" t="s">
        <v>228</v>
      </c>
      <c r="D23">
        <v>-0.25</v>
      </c>
    </row>
    <row r="24" spans="1:10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261</v>
      </c>
    </row>
    <row r="25" spans="1:10" x14ac:dyDescent="0.25">
      <c r="A25" s="1" t="s">
        <v>42</v>
      </c>
      <c r="B25" t="s">
        <v>43</v>
      </c>
      <c r="D25">
        <v>0</v>
      </c>
    </row>
    <row r="26" spans="1:10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251</v>
      </c>
      <c r="H26" s="4"/>
      <c r="I26" s="4"/>
      <c r="J26" s="4"/>
    </row>
    <row r="27" spans="1:10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2.9*60/1000</f>
        <v>0.17399999999999999</v>
      </c>
      <c r="G27" s="4" t="s">
        <v>250</v>
      </c>
      <c r="H27" s="4"/>
      <c r="I27" s="4"/>
      <c r="J27" s="4"/>
    </row>
    <row r="28" spans="1:10" x14ac:dyDescent="0.25">
      <c r="A28" s="1" t="s">
        <v>47</v>
      </c>
      <c r="B28" t="s">
        <v>48</v>
      </c>
      <c r="C28" t="s">
        <v>190</v>
      </c>
      <c r="D28">
        <v>0</v>
      </c>
      <c r="F28" s="4">
        <f>F27/(70^0.75)</f>
        <v>7.1899474840331325E-3</v>
      </c>
      <c r="G28" s="4" t="s">
        <v>253</v>
      </c>
      <c r="H28" s="4"/>
      <c r="I28" s="4"/>
      <c r="J28" s="4"/>
    </row>
    <row r="29" spans="1:10" x14ac:dyDescent="0.25">
      <c r="A29" s="1" t="s">
        <v>140</v>
      </c>
      <c r="B29" t="s">
        <v>49</v>
      </c>
      <c r="C29" t="s">
        <v>190</v>
      </c>
      <c r="D29">
        <v>0</v>
      </c>
      <c r="F29" s="4">
        <f>0.1 + 0.4*F26/18</f>
        <v>0.18888888888888888</v>
      </c>
      <c r="G29" s="4" t="s">
        <v>252</v>
      </c>
      <c r="H29" s="4"/>
      <c r="I29" s="4"/>
      <c r="J29" s="4"/>
    </row>
    <row r="30" spans="1:10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0.9-0.4*F26/18</f>
        <v>0.81111111111111112</v>
      </c>
      <c r="G30" s="4" t="s">
        <v>254</v>
      </c>
      <c r="H30" s="4"/>
      <c r="I30" s="4"/>
      <c r="J30" s="4"/>
    </row>
    <row r="31" spans="1:10" x14ac:dyDescent="0.25">
      <c r="A31" s="1" t="s">
        <v>142</v>
      </c>
      <c r="B31" t="s">
        <v>50</v>
      </c>
      <c r="C31" t="s">
        <v>190</v>
      </c>
      <c r="D31">
        <v>0</v>
      </c>
    </row>
    <row r="32" spans="1:10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6" x14ac:dyDescent="0.25">
      <c r="A33" s="1" t="s">
        <v>52</v>
      </c>
      <c r="B33" t="s">
        <v>206</v>
      </c>
      <c r="C33" t="s">
        <v>36</v>
      </c>
      <c r="D33">
        <v>0</v>
      </c>
    </row>
    <row r="34" spans="1:6" x14ac:dyDescent="0.25">
      <c r="A34" s="1" t="s">
        <v>53</v>
      </c>
      <c r="B34" t="s">
        <v>207</v>
      </c>
      <c r="C34" t="s">
        <v>36</v>
      </c>
      <c r="D34">
        <v>0</v>
      </c>
    </row>
    <row r="35" spans="1:6" x14ac:dyDescent="0.25">
      <c r="A35" s="1" t="s">
        <v>54</v>
      </c>
      <c r="B35" t="s">
        <v>55</v>
      </c>
      <c r="C35" t="s">
        <v>36</v>
      </c>
      <c r="D35">
        <v>0</v>
      </c>
    </row>
    <row r="36" spans="1:6" x14ac:dyDescent="0.25">
      <c r="A36" s="1" t="s">
        <v>165</v>
      </c>
      <c r="B36" t="s">
        <v>166</v>
      </c>
      <c r="C36" t="s">
        <v>190</v>
      </c>
      <c r="D36">
        <v>0</v>
      </c>
      <c r="E36" s="4">
        <f>F28*F29</f>
        <v>1.3581011914284805E-3</v>
      </c>
      <c r="F36" t="s">
        <v>235</v>
      </c>
    </row>
    <row r="37" spans="1:6" x14ac:dyDescent="0.25">
      <c r="A37" s="1" t="s">
        <v>56</v>
      </c>
      <c r="B37" t="s">
        <v>167</v>
      </c>
      <c r="C37" t="s">
        <v>190</v>
      </c>
      <c r="D37">
        <v>0</v>
      </c>
    </row>
    <row r="38" spans="1:6" x14ac:dyDescent="0.25">
      <c r="A38" s="1" t="s">
        <v>237</v>
      </c>
      <c r="B38" t="s">
        <v>57</v>
      </c>
      <c r="C38" t="s">
        <v>46</v>
      </c>
      <c r="D38">
        <v>1</v>
      </c>
    </row>
    <row r="39" spans="1:6" x14ac:dyDescent="0.25">
      <c r="A39" s="1" t="s">
        <v>236</v>
      </c>
      <c r="B39" t="s">
        <v>58</v>
      </c>
      <c r="C39" t="s">
        <v>59</v>
      </c>
      <c r="D39">
        <v>0</v>
      </c>
    </row>
    <row r="40" spans="1:6" x14ac:dyDescent="0.25">
      <c r="A40" s="1" t="s">
        <v>238</v>
      </c>
      <c r="B40" t="s">
        <v>60</v>
      </c>
      <c r="C40" t="s">
        <v>36</v>
      </c>
      <c r="D40">
        <v>0</v>
      </c>
    </row>
    <row r="41" spans="1:6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6" x14ac:dyDescent="0.25">
      <c r="A42" s="1" t="s">
        <v>144</v>
      </c>
      <c r="B42" t="s">
        <v>62</v>
      </c>
      <c r="C42" t="s">
        <v>46</v>
      </c>
      <c r="D42">
        <v>1</v>
      </c>
    </row>
    <row r="43" spans="1:6" x14ac:dyDescent="0.25">
      <c r="A43" s="1" t="s">
        <v>145</v>
      </c>
      <c r="B43" t="s">
        <v>63</v>
      </c>
      <c r="C43" t="s">
        <v>244</v>
      </c>
      <c r="D43">
        <v>0</v>
      </c>
    </row>
    <row r="44" spans="1:6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6" x14ac:dyDescent="0.25">
      <c r="A45" s="1" t="s">
        <v>147</v>
      </c>
      <c r="B45" t="s">
        <v>65</v>
      </c>
      <c r="C45" t="s">
        <v>46</v>
      </c>
      <c r="D45">
        <v>1</v>
      </c>
    </row>
    <row r="46" spans="1:6" x14ac:dyDescent="0.25">
      <c r="A46" s="1" t="s">
        <v>203</v>
      </c>
      <c r="B46" t="s">
        <v>204</v>
      </c>
      <c r="C46" t="s">
        <v>244</v>
      </c>
      <c r="D46">
        <v>0</v>
      </c>
      <c r="E46" s="4">
        <f>F28*F30/E75</f>
        <v>8.3312089894352168E-2</v>
      </c>
    </row>
    <row r="47" spans="1:6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6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25">
      <c r="A67" s="1" t="s">
        <v>90</v>
      </c>
      <c r="B67" t="s">
        <v>83</v>
      </c>
      <c r="C67" t="s">
        <v>186</v>
      </c>
      <c r="D67">
        <v>1</v>
      </c>
      <c r="E67">
        <v>0.03</v>
      </c>
      <c r="F67" t="s">
        <v>217</v>
      </c>
    </row>
    <row r="68" spans="1:6" x14ac:dyDescent="0.2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25">
      <c r="A70" s="1" t="s">
        <v>93</v>
      </c>
      <c r="B70" t="s">
        <v>257</v>
      </c>
      <c r="C70" t="s">
        <v>186</v>
      </c>
      <c r="D70">
        <v>1</v>
      </c>
      <c r="E70">
        <v>3.5999999999999997E-2</v>
      </c>
      <c r="F70" t="s">
        <v>262</v>
      </c>
    </row>
    <row r="71" spans="1:6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2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25">
      <c r="A75" s="1" t="s">
        <v>98</v>
      </c>
      <c r="B75" t="s">
        <v>255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25">
      <c r="A76" s="1" t="s">
        <v>151</v>
      </c>
      <c r="B76" t="s">
        <v>256</v>
      </c>
      <c r="C76" t="s">
        <v>186</v>
      </c>
      <c r="D76">
        <v>1</v>
      </c>
      <c r="E76">
        <v>0.82</v>
      </c>
      <c r="F76" t="s">
        <v>225</v>
      </c>
    </row>
    <row r="77" spans="1:6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2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2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2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262</v>
      </c>
    </row>
    <row r="81" spans="1:10" x14ac:dyDescent="0.2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2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25">
      <c r="A85" s="1" t="s">
        <v>112</v>
      </c>
      <c r="B85" t="s">
        <v>260</v>
      </c>
      <c r="C85" t="s">
        <v>185</v>
      </c>
      <c r="D85">
        <v>0</v>
      </c>
      <c r="E85" s="6">
        <v>0.05</v>
      </c>
      <c r="F85" t="s">
        <v>263</v>
      </c>
      <c r="G85" s="6" t="s">
        <v>264</v>
      </c>
      <c r="H85" s="6"/>
      <c r="I85" s="6"/>
      <c r="J85" s="6"/>
    </row>
    <row r="86" spans="1:10" x14ac:dyDescent="0.2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259</v>
      </c>
      <c r="H86" s="5"/>
    </row>
    <row r="87" spans="1:10" x14ac:dyDescent="0.25">
      <c r="A87" s="1" t="s">
        <v>121</v>
      </c>
      <c r="B87" t="s">
        <v>113</v>
      </c>
      <c r="D87">
        <v>1</v>
      </c>
      <c r="F87" t="s">
        <v>215</v>
      </c>
    </row>
    <row r="88" spans="1:10" x14ac:dyDescent="0.25">
      <c r="A88" s="1" t="s">
        <v>122</v>
      </c>
      <c r="B88" t="s">
        <v>211</v>
      </c>
      <c r="D88">
        <v>1</v>
      </c>
      <c r="F88" t="s">
        <v>216</v>
      </c>
    </row>
    <row r="89" spans="1:10" x14ac:dyDescent="0.2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2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25">
      <c r="A91" s="1" t="s">
        <v>125</v>
      </c>
      <c r="B91" t="s">
        <v>172</v>
      </c>
      <c r="D91">
        <v>1</v>
      </c>
      <c r="E91">
        <v>0.83</v>
      </c>
      <c r="F91" t="s">
        <v>262</v>
      </c>
    </row>
    <row r="92" spans="1:10" x14ac:dyDescent="0.25">
      <c r="A92" s="1" t="s">
        <v>126</v>
      </c>
      <c r="B92" t="s">
        <v>158</v>
      </c>
      <c r="D92">
        <v>1</v>
      </c>
      <c r="F92" t="s">
        <v>220</v>
      </c>
    </row>
    <row r="93" spans="1:10" x14ac:dyDescent="0.25">
      <c r="A93" s="1" t="s">
        <v>127</v>
      </c>
      <c r="B93" t="s">
        <v>116</v>
      </c>
      <c r="D93">
        <v>1</v>
      </c>
      <c r="F93" t="s">
        <v>221</v>
      </c>
    </row>
    <row r="94" spans="1:10" x14ac:dyDescent="0.25">
      <c r="A94" s="1" t="s">
        <v>128</v>
      </c>
      <c r="B94" t="s">
        <v>117</v>
      </c>
      <c r="D94">
        <v>1</v>
      </c>
      <c r="F94" t="s">
        <v>222</v>
      </c>
    </row>
    <row r="95" spans="1:10" x14ac:dyDescent="0.25">
      <c r="A95" s="1" t="s">
        <v>129</v>
      </c>
      <c r="B95" t="s">
        <v>118</v>
      </c>
      <c r="D95">
        <v>1</v>
      </c>
      <c r="F95" t="s">
        <v>223</v>
      </c>
    </row>
    <row r="96" spans="1:10" x14ac:dyDescent="0.2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2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25">
      <c r="A100" s="1" t="s">
        <v>34</v>
      </c>
      <c r="B100" t="s">
        <v>35</v>
      </c>
    </row>
    <row r="102" spans="1:6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25">
      <c r="A103" s="1" t="s">
        <v>73</v>
      </c>
      <c r="B103" t="s">
        <v>74</v>
      </c>
    </row>
    <row r="104" spans="1:6" x14ac:dyDescent="0.25">
      <c r="A104" s="1" t="s">
        <v>75</v>
      </c>
      <c r="B104" t="s">
        <v>76</v>
      </c>
    </row>
    <row r="105" spans="1:6" x14ac:dyDescent="0.2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Parameter_Set_1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2026-02-18T20:39:04Z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