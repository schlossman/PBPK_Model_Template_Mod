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500" documentId="14_{BC2287C1-70F4-4BAE-BA85-F3EC3C708A08}" xr6:coauthVersionLast="47" xr6:coauthVersionMax="47" xr10:uidLastSave="{14F1A6FD-4130-4F60-BDBB-B8F2496398BD}"/>
  <bookViews>
    <workbookView xWindow="1513" yWindow="1667" windowWidth="21600" windowHeight="12586" tabRatio="668" xr2:uid="{089E7848-11EB-427A-89EA-83825F220BA0}"/>
  </bookViews>
  <sheets>
    <sheet name="MKudo1BW" sheetId="40" r:id="rId1"/>
    <sheet name="MKudo2BW" sheetId="41" r:id="rId2"/>
    <sheet name="MKemperOral25BW" sheetId="11" r:id="rId3"/>
    <sheet name="MKemperOral1BW" sheetId="39" r:id="rId4"/>
    <sheet name="MKemperOral5BW" sheetId="3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40" l="1"/>
  <c r="E22" i="40"/>
  <c r="E16" i="40"/>
  <c r="F22" i="11" l="1"/>
  <c r="E21" i="39" l="1"/>
  <c r="E21" i="38"/>
  <c r="E21" i="11" l="1"/>
</calcChain>
</file>

<file path=xl/sharedStrings.xml><?xml version="1.0" encoding="utf-8"?>
<sst xmlns="http://schemas.openxmlformats.org/spreadsheetml/2006/main" count="637" uniqueCount="114">
  <si>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</si>
  <si>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</si>
  <si>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</si>
  <si>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</si>
  <si>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</si>
  <si>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</si>
  <si>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</si>
  <si>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</si>
  <si>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</si>
  <si>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</si>
  <si>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</si>
  <si>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</si>
  <si>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</si>
  <si>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</si>
  <si>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</si>
  <si>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</si>
  <si>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</si>
  <si>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</si>
  <si>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</si>
  <si>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</si>
  <si>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</si>
  <si>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</si>
  <si>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</si>
  <si>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</si>
  <si>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</si>
  <si>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</si>
  <si>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</si>
  <si>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</si>
  <si>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</si>
  <si>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</si>
  <si>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</si>
  <si>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</si>
  <si>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</si>
  <si>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</si>
  <si>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</si>
  <si>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</si>
  <si>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</si>
  <si>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</si>
  <si>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</si>
  <si>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</si>
  <si>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</si>
  <si>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</si>
  <si>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</si>
  <si>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</si>
  <si>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</si>
  <si>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</si>
  <si>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</si>
  <si>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</si>
  <si>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</si>
  <si>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</si>
  <si>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</si>
  <si>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</si>
  <si>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</si>
  <si>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</si>
  <si>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</si>
  <si>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</si>
  <si>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</si>
  <si>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</si>
  <si>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</si>
  <si>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</si>
  <si>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</si>
  <si>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</si>
  <si>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</si>
  <si>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</si>
  <si>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</si>
  <si>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</si>
  <si>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</si>
  <si>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</si>
  <si>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</si>
  <si>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</si>
  <si>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</si>
  <si>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</si>
  <si>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</si>
  <si>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</si>
  <si>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</si>
  <si>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</si>
  <si>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</si>
  <si>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</si>
  <si>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</si>
  <si>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PFOA</t>
  </si>
  <si>
    <t>rat</t>
  </si>
  <si>
    <t>male</t>
  </si>
  <si>
    <t>ug</t>
  </si>
  <si>
    <t>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</si>
  <si>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</si>
  <si>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</si>
  <si>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</si>
  <si>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</si>
  <si>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</si>
  <si>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</si>
  <si>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</si>
  <si>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</si>
  <si>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</si>
  <si>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</si>
  <si>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</si>
  <si>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</si>
  <si>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</si>
  <si>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</si>
  <si>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</si>
  <si>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</si>
  <si>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</si>
  <si>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</si>
  <si>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</si>
  <si>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</si>
  <si>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</si>
  <si>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</si>
  <si>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</si>
  <si>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</si>
  <si>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</si>
  <si>
    <t>&lt;== actual dose from Table 9 of Kemper, 25 mg/kg target</t>
  </si>
  <si>
    <t>&lt;== from Table 9 of Kemper, 25 mg/kg target, male rats</t>
  </si>
  <si>
    <t>&lt;== total dose (mg)</t>
  </si>
  <si>
    <t>&lt;== actual dose from Table 9 of Kemper, 1 mg/kg target</t>
  </si>
  <si>
    <t>&lt;== actual dose from Table 9 of Kemper, 5 mg/kg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</si>
</sst>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4C24-1AC5-42FA-88F9-A86A51928A45}">
  <dimension ref="A1:G39"/>
  <sheetViews>
    <sheetView tabSelected="1" topLeftCell="A4" workbookViewId="0">
      <selection activeCell="F24" sqref="F24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F16/24</f>
        <v>0.125</v>
      </c>
      <c r="F16">
        <v>3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0.28999999999999998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  <c r="E22">
        <f>F22*1000</f>
        <v>41</v>
      </c>
      <c r="F22">
        <v>4.1000000000000002E-2</v>
      </c>
    </row>
    <row r="23" spans="1:7" x14ac:dyDescent="0.25">
      <c r="A23" s="1" t="s">
        <v>53</v>
      </c>
      <c r="B23" t="s">
        <v>54</v>
      </c>
      <c r="C23" t="s">
        <v>24</v>
      </c>
      <c r="F23">
        <v>3.0000000000000001E-3</v>
      </c>
      <c r="G23">
        <f>F23*60*60</f>
        <v>10.799999999999999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5A5C-5D56-4870-B8E8-4D78C5A9D4A6}">
  <dimension ref="A1:F39"/>
  <sheetViews>
    <sheetView topLeftCell="A19" workbookViewId="0">
      <selection activeCell="A29" sqref="A29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0.10416666666666667</v>
      </c>
    </row>
    <row r="17" spans="1:6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0</v>
      </c>
      <c r="E20">
        <v>0.28999999999999998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  <c r="E22">
        <v>16560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</row>
    <row r="25" spans="1:6" x14ac:dyDescent="0.25">
      <c r="A25" s="1" t="s">
        <v>10</v>
      </c>
      <c r="B25" t="s">
        <v>11</v>
      </c>
      <c r="D25">
        <v>0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108</v>
      </c>
      <c r="B28" t="s">
        <v>63</v>
      </c>
      <c r="C28" t="s">
        <v>24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F9B-7E2C-485C-82ED-8B9140B516E0}">
  <dimension ref="A1:G39"/>
  <sheetViews>
    <sheetView topLeftCell="A7" workbookViewId="0">
      <selection activeCell="F23" sqref="F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0.20979999999999999</v>
      </c>
      <c r="F20" t="s">
        <v>110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26070</v>
      </c>
      <c r="F21">
        <v>26.07</v>
      </c>
      <c r="G21" t="s">
        <v>109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  <c r="F22">
        <f>E20*F21</f>
        <v>5.4694859999999998</v>
      </c>
      <c r="G22" t="s">
        <v>111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09DC-453F-4FDF-BC07-E26D7D725E6B}">
  <dimension ref="A1:G39"/>
  <sheetViews>
    <sheetView topLeftCell="A10" workbookViewId="0">
      <selection activeCell="G21" sqref="G21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  <c r="F16">
        <v>600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0.2334</v>
      </c>
      <c r="F20" t="s">
        <v>110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1150</v>
      </c>
      <c r="F21">
        <v>1.1499999999999999</v>
      </c>
      <c r="G21" t="s">
        <v>112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7732-3851-459F-8542-D34FCE787B60}">
  <dimension ref="A1:G39"/>
  <sheetViews>
    <sheetView topLeftCell="A7" workbookViewId="0">
      <selection activeCell="G21" sqref="G21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  <c r="F16">
        <v>600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0.1976</v>
      </c>
      <c r="F20" t="s">
        <v>110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4720</v>
      </c>
      <c r="F21">
        <v>4.72</v>
      </c>
      <c r="G21" t="s">
        <v>113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78C79C6-E5CC-4F2D-A2E3-1FF685DFF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MKudo1BW</vt:lpstr>
      <vt:lpstr>MKudo2BW</vt:lpstr>
      <vt:lpstr>MKemperOral25BW</vt:lpstr>
      <vt:lpstr>MKemperOral1BW</vt:lpstr>
      <vt:lpstr>MKemperOral5BW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2026-03-27T21:05:58Z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MediaServiceImageTags">
    <vt:lpwstr/>
  </property>
  <property fmtid="{D5CDD505-2E9C-101B-9397-08002B2CF9AE}" pid="7" name="EPA_x0020_Subject">
    <vt:lpwstr/>
  </property>
  <property fmtid="{D5CDD505-2E9C-101B-9397-08002B2CF9AE}" pid="8" name="EPA Subject">
    <vt:lpwstr/>
  </property>
</Properties>
</file>