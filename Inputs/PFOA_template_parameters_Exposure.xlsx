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496" documentId="14_{BC2287C1-70F4-4BAE-BA85-F3EC3C708A08}" xr6:coauthVersionLast="47" xr6:coauthVersionMax="47" xr10:uidLastSave="{7DD6B41E-5F49-4854-9791-ABDA2AFAD1DD}"/>
  <bookViews>
    <workbookView xWindow="1170" yWindow="1170" windowWidth="19770" windowHeight="14130" tabRatio="668" activeTab="4" xr2:uid="{089E7848-11EB-427A-89EA-83825F220BA0}"/>
  </bookViews>
  <sheets>
    <sheet name="MKudo1BW" sheetId="40" r:id="rId1"/>
    <sheet name="MKudo2BW" sheetId="41" r:id="rId2"/>
    <sheet name="MKemperOral25BW" sheetId="11" r:id="rId3"/>
    <sheet name="MKemperOral1BW" sheetId="39" r:id="rId4"/>
    <sheet name="MKemperOral5BW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" i="40" l="1"/>
  <c r="E16" i="40"/>
  <c r="F22" i="11" l="1"/>
  <c r="E21" i="39" l="1"/>
  <c r="E21" i="38"/>
  <c r="E21" i="11" l="1"/>
</calcChain>
</file>

<file path=xl/sharedStrings.xml><?xml version="1.0" encoding="utf-8"?>
<sst xmlns="http://schemas.openxmlformats.org/spreadsheetml/2006/main" count="637" uniqueCount="114">
  <si>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</si>
  <si>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</si>
  <si>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</si>
  <si>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</si>
  <si>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</si>
  <si>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</si>
  <si>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</si>
  <si>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</si>
  <si>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</si>
  <si>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</si>
  <si>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</si>
  <si>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</si>
  <si>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</si>
  <si>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</si>
  <si>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</si>
  <si>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</si>
  <si>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</si>
  <si>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</si>
  <si>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</si>
  <si>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</si>
  <si>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</si>
  <si>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</si>
  <si>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</si>
  <si>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</si>
  <si>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</si>
  <si>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</si>
  <si>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</si>
  <si>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</si>
  <si>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</si>
  <si>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</si>
  <si>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</si>
  <si>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</si>
  <si>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</si>
  <si>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</si>
  <si>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</si>
  <si>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</si>
  <si>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</si>
  <si>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</si>
  <si>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</si>
  <si>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</si>
  <si>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</si>
  <si>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</si>
  <si>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</si>
  <si>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End of File</t>
  </si>
  <si>
    <t>Use the units specified here for the parameters below unless otherwise specified.</t>
  </si>
  <si>
    <t>The model is automatically converted to, run, and output in units of mg, L, h.</t>
  </si>
  <si>
    <t>R_0bgli</t>
  </si>
  <si>
    <t>Zero Order rate of endogenous production in liver</t>
  </si>
  <si>
    <t>C_ven_SS</t>
  </si>
  <si>
    <t>Concentration in venous blood at steady state</t>
  </si>
  <si>
    <t>mg/L</t>
  </si>
  <si>
    <t>Default Value</t>
  </si>
  <si>
    <t>Columns F and further right can be used for notes and will not be used by the model simulation code.</t>
  </si>
  <si>
    <t>T_iv_infuse</t>
  </si>
  <si>
    <t>IV: Infusion Time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</si>
  <si>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</si>
  <si>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</si>
  <si>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</si>
  <si>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</si>
  <si>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</si>
  <si>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water.equal</t>
  </si>
  <si>
    <t>equal, unequal</t>
  </si>
  <si>
    <t>provide proportions in R script if unequal</t>
  </si>
  <si>
    <t>Inhalation: End time of exposure (single exposure)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</si>
  <si>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</si>
  <si>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</si>
  <si>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</si>
  <si>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</si>
  <si>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</si>
  <si>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</si>
  <si>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</si>
  <si>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</si>
  <si>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</si>
  <si>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</si>
  <si>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</si>
  <si>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</si>
  <si>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Water dosing (periodic bolus oral dosing)</t>
  </si>
  <si>
    <t>If water dosing, is the dose assumed equally proportioned over the day?</t>
  </si>
  <si>
    <t>water.dose</t>
  </si>
  <si>
    <t>PFOA</t>
  </si>
  <si>
    <t>rat</t>
  </si>
  <si>
    <t>male</t>
  </si>
  <si>
    <t>ug</t>
  </si>
  <si>
    <t>L</t>
  </si>
  <si>
    <t>h</t>
  </si>
  <si>
    <t>N</t>
  </si>
  <si>
    <t>Y</t>
  </si>
  <si>
    <t>BW_constant</t>
  </si>
  <si>
    <t>Body weight is constant?</t>
  </si>
  <si>
    <t>For non-constant BW, specify table of body weights vs time in R scripts</t>
  </si>
  <si>
    <t>R</t>
  </si>
  <si>
    <t>Ideal Gas Constant at 1 atm</t>
  </si>
  <si>
    <t>1000 L*ppm/Kelvin/mol</t>
  </si>
  <si>
    <t>Temp</t>
  </si>
  <si>
    <t>Temperature</t>
  </si>
  <si>
    <t>Kelvin</t>
  </si>
  <si>
    <t>default is 25 deg C</t>
  </si>
  <si>
    <t>RTemp</t>
  </si>
  <si>
    <t>Ideal Gas Constant (R) times Temperature (in Kelvin)*</t>
  </si>
  <si>
    <t>1000 L*ppm/mol</t>
  </si>
  <si>
    <t>This should be R*Temp: This quantity divides the molecular weight to obtain a conversation factor that takes a concentration of chemical from units of ppm to units of mg/L.</t>
  </si>
  <si>
    <t>BW</t>
  </si>
  <si>
    <t>Body Mass</t>
  </si>
  <si>
    <t>kg</t>
  </si>
  <si>
    <t>t.first.dose_water</t>
  </si>
  <si>
    <t>h (24 hour clock)</t>
  </si>
  <si>
    <t>t.final.dose_water</t>
  </si>
  <si>
    <t>Drinking Water: Periodic Exposure: Time of final dose each day</t>
  </si>
  <si>
    <t>inh.stop.time</t>
  </si>
  <si>
    <t>&lt;== actual dose from Table 9 of Kemper, 25 mg/kg target</t>
  </si>
  <si>
    <t>&lt;== from Table 9 of Kemper, 25 mg/kg target, male rats</t>
  </si>
  <si>
    <t>&lt;== total dose (mg)</t>
  </si>
  <si>
    <t>&lt;== actual dose from Table 9 of Kemper, 1 mg/kg target</t>
  </si>
  <si>
    <t>&lt;== actual dose from Table 9 of Kemper, 5 mg/kg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</si>
</sst>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Relationship Id="rId14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B4C24-1AC5-42FA-88F9-A86A51928A45}">
  <dimension ref="A1:F39"/>
  <sheetViews>
    <sheetView topLeftCell="A22" workbookViewId="0">
      <selection activeCell="A29" sqref="A29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86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F16/24</f>
        <v>0.125</v>
      </c>
      <c r="F16">
        <v>3</v>
      </c>
    </row>
    <row r="17" spans="1:6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6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6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6" x14ac:dyDescent="0.25">
      <c r="A20" s="1" t="s">
        <v>101</v>
      </c>
      <c r="B20" t="s">
        <v>102</v>
      </c>
      <c r="C20" t="s">
        <v>103</v>
      </c>
      <c r="D20">
        <v>0</v>
      </c>
      <c r="E20">
        <v>0.28999999999999998</v>
      </c>
    </row>
    <row r="21" spans="1:6" x14ac:dyDescent="0.25">
      <c r="A21" s="1" t="s">
        <v>19</v>
      </c>
      <c r="B21" t="s">
        <v>20</v>
      </c>
      <c r="C21" t="s">
        <v>6</v>
      </c>
      <c r="D21">
        <v>0</v>
      </c>
    </row>
    <row r="22" spans="1:6" x14ac:dyDescent="0.25">
      <c r="A22" s="1" t="s">
        <v>21</v>
      </c>
      <c r="B22" t="s">
        <v>22</v>
      </c>
      <c r="C22" t="s">
        <v>6</v>
      </c>
      <c r="D22">
        <v>0</v>
      </c>
      <c r="E22">
        <f>F22*1000</f>
        <v>41</v>
      </c>
      <c r="F22">
        <v>4.1000000000000002E-2</v>
      </c>
    </row>
    <row r="23" spans="1:6" x14ac:dyDescent="0.25">
      <c r="A23" s="1" t="s">
        <v>53</v>
      </c>
      <c r="B23" t="s">
        <v>54</v>
      </c>
      <c r="C23" t="s">
        <v>24</v>
      </c>
    </row>
    <row r="24" spans="1:6" x14ac:dyDescent="0.25">
      <c r="A24" s="1" t="s">
        <v>7</v>
      </c>
      <c r="B24" t="s">
        <v>8</v>
      </c>
      <c r="C24" t="s">
        <v>9</v>
      </c>
      <c r="D24">
        <v>0</v>
      </c>
    </row>
    <row r="25" spans="1:6" x14ac:dyDescent="0.25">
      <c r="A25" s="1" t="s">
        <v>10</v>
      </c>
      <c r="B25" t="s">
        <v>11</v>
      </c>
      <c r="D25">
        <v>0</v>
      </c>
    </row>
    <row r="26" spans="1:6" x14ac:dyDescent="0.25">
      <c r="A26" s="1" t="s">
        <v>12</v>
      </c>
      <c r="B26" t="s">
        <v>13</v>
      </c>
      <c r="C26" t="s">
        <v>14</v>
      </c>
      <c r="D26">
        <v>0</v>
      </c>
    </row>
    <row r="27" spans="1:6" x14ac:dyDescent="0.25">
      <c r="A27" s="1" t="s">
        <v>15</v>
      </c>
      <c r="B27" t="s">
        <v>16</v>
      </c>
      <c r="C27" t="s">
        <v>17</v>
      </c>
      <c r="D27">
        <v>0</v>
      </c>
    </row>
    <row r="28" spans="1:6" x14ac:dyDescent="0.25">
      <c r="A28" s="1" t="s">
        <v>108</v>
      </c>
      <c r="B28" t="s">
        <v>63</v>
      </c>
      <c r="C28" t="s">
        <v>24</v>
      </c>
    </row>
    <row r="29" spans="1:6" x14ac:dyDescent="0.25">
      <c r="A29" s="1" t="s">
        <v>64</v>
      </c>
      <c r="B29" t="s">
        <v>23</v>
      </c>
      <c r="C29" t="s">
        <v>24</v>
      </c>
    </row>
    <row r="30" spans="1:6" x14ac:dyDescent="0.25">
      <c r="A30" s="1" t="s">
        <v>65</v>
      </c>
      <c r="B30" t="s">
        <v>66</v>
      </c>
      <c r="C30" t="s">
        <v>24</v>
      </c>
    </row>
    <row r="31" spans="1:6" x14ac:dyDescent="0.25">
      <c r="A31" s="1" t="s">
        <v>67</v>
      </c>
      <c r="B31" t="s">
        <v>68</v>
      </c>
    </row>
    <row r="32" spans="1:6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B5A5C-5D56-4870-B8E8-4D78C5A9D4A6}">
  <dimension ref="A1:F39"/>
  <sheetViews>
    <sheetView topLeftCell="A22" workbookViewId="0">
      <selection activeCell="A29" sqref="A29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86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0.10416666666666667</v>
      </c>
    </row>
    <row r="17" spans="1:6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6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6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6" x14ac:dyDescent="0.25">
      <c r="A20" s="1" t="s">
        <v>101</v>
      </c>
      <c r="B20" t="s">
        <v>102</v>
      </c>
      <c r="C20" t="s">
        <v>103</v>
      </c>
      <c r="D20">
        <v>0</v>
      </c>
      <c r="E20">
        <v>0.28999999999999998</v>
      </c>
    </row>
    <row r="21" spans="1:6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</row>
    <row r="22" spans="1:6" x14ac:dyDescent="0.25">
      <c r="A22" s="1" t="s">
        <v>21</v>
      </c>
      <c r="B22" t="s">
        <v>22</v>
      </c>
      <c r="C22" t="s">
        <v>6</v>
      </c>
      <c r="D22">
        <v>0</v>
      </c>
      <c r="E22">
        <v>16560</v>
      </c>
    </row>
    <row r="23" spans="1:6" x14ac:dyDescent="0.25">
      <c r="A23" s="1" t="s">
        <v>53</v>
      </c>
      <c r="B23" t="s">
        <v>54</v>
      </c>
      <c r="C23" t="s">
        <v>24</v>
      </c>
    </row>
    <row r="24" spans="1:6" x14ac:dyDescent="0.25">
      <c r="A24" s="1" t="s">
        <v>7</v>
      </c>
      <c r="B24" t="s">
        <v>8</v>
      </c>
      <c r="C24" t="s">
        <v>9</v>
      </c>
      <c r="D24">
        <v>0</v>
      </c>
    </row>
    <row r="25" spans="1:6" x14ac:dyDescent="0.25">
      <c r="A25" s="1" t="s">
        <v>10</v>
      </c>
      <c r="B25" t="s">
        <v>11</v>
      </c>
      <c r="D25">
        <v>0</v>
      </c>
    </row>
    <row r="26" spans="1:6" x14ac:dyDescent="0.25">
      <c r="A26" s="1" t="s">
        <v>12</v>
      </c>
      <c r="B26" t="s">
        <v>13</v>
      </c>
      <c r="C26" t="s">
        <v>14</v>
      </c>
      <c r="D26">
        <v>0</v>
      </c>
    </row>
    <row r="27" spans="1:6" x14ac:dyDescent="0.25">
      <c r="A27" s="1" t="s">
        <v>15</v>
      </c>
      <c r="B27" t="s">
        <v>16</v>
      </c>
      <c r="C27" t="s">
        <v>17</v>
      </c>
      <c r="D27">
        <v>0</v>
      </c>
    </row>
    <row r="28" spans="1:6" x14ac:dyDescent="0.25">
      <c r="A28" s="1" t="s">
        <v>108</v>
      </c>
      <c r="B28" t="s">
        <v>63</v>
      </c>
      <c r="C28" t="s">
        <v>24</v>
      </c>
    </row>
    <row r="29" spans="1:6" x14ac:dyDescent="0.25">
      <c r="A29" s="1" t="s">
        <v>64</v>
      </c>
      <c r="B29" t="s">
        <v>23</v>
      </c>
      <c r="C29" t="s">
        <v>24</v>
      </c>
    </row>
    <row r="30" spans="1:6" x14ac:dyDescent="0.25">
      <c r="A30" s="1" t="s">
        <v>65</v>
      </c>
      <c r="B30" t="s">
        <v>66</v>
      </c>
      <c r="C30" t="s">
        <v>24</v>
      </c>
    </row>
    <row r="31" spans="1:6" x14ac:dyDescent="0.25">
      <c r="A31" s="1" t="s">
        <v>67</v>
      </c>
      <c r="B31" t="s">
        <v>68</v>
      </c>
    </row>
    <row r="32" spans="1:6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8BF9B-7E2C-485C-82ED-8B9140B516E0}">
  <dimension ref="A1:G39"/>
  <sheetViews>
    <sheetView topLeftCell="A7" workbookViewId="0">
      <selection activeCell="F23" sqref="F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0.20979999999999999</v>
      </c>
      <c r="F20" t="s">
        <v>110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26070</v>
      </c>
      <c r="F21">
        <v>26.07</v>
      </c>
      <c r="G21" t="s">
        <v>109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  <c r="F22">
        <f>E20*F21</f>
        <v>5.4694859999999998</v>
      </c>
      <c r="G22" t="s">
        <v>111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709DC-453F-4FDF-BC07-E26D7D725E6B}">
  <dimension ref="A1:G39"/>
  <sheetViews>
    <sheetView topLeftCell="A10" workbookViewId="0">
      <selection activeCell="G21" sqref="G21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  <c r="F16">
        <v>600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0.2334</v>
      </c>
      <c r="F20" t="s">
        <v>110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1150</v>
      </c>
      <c r="F21">
        <v>1.1499999999999999</v>
      </c>
      <c r="G21" t="s">
        <v>112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7732-3851-459F-8542-D34FCE787B60}">
  <dimension ref="A1:G39"/>
  <sheetViews>
    <sheetView tabSelected="1" topLeftCell="A7" workbookViewId="0">
      <selection activeCell="G21" sqref="G21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  <c r="F16">
        <v>600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0.1976</v>
      </c>
      <c r="F20" t="s">
        <v>110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4720</v>
      </c>
      <c r="F21">
        <v>4.72</v>
      </c>
      <c r="G21" t="s">
        <v>113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E78C79C6-E5CC-4F2D-A2E3-1FF685DFF1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MKudo1BW</vt:lpstr>
      <vt:lpstr>MKudo2BW</vt:lpstr>
      <vt:lpstr>MKemperOral25BW</vt:lpstr>
      <vt:lpstr>MKemperOral1BW</vt:lpstr>
      <vt:lpstr>MKemperOral5BW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2025-12-17T12:41:06Z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MediaServiceImageTags">
    <vt:lpwstr/>
  </property>
  <property fmtid="{D5CDD505-2E9C-101B-9397-08002B2CF9AE}" pid="7" name="EPA_x0020_Subject">
    <vt:lpwstr/>
  </property>
  <property fmtid="{D5CDD505-2E9C-101B-9397-08002B2CF9AE}" pid="8" name="EPA Subject">
    <vt:lpwstr/>
  </property>
</Properties>
</file>