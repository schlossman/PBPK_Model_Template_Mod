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807" documentId="8_{D031EE4F-1494-41E6-A9B6-B336235EFD1E}" xr6:coauthVersionLast="47" xr6:coauthVersionMax="47" xr10:uidLastSave="{1066891E-2BBA-4C53-8584-C4045041273F}"/>
  <bookViews>
    <workbookView xWindow="-23835" yWindow="75" windowWidth="23670" windowHeight="12675" xr2:uid="{089E7848-11EB-427A-89EA-83825F220BA0}"/>
  </bookViews>
  <sheets>
    <sheet name="2mo_VC_noEHM" sheetId="9" r:id="rId1"/>
    <sheet name="2mo_VC_EHM" sheetId="10" r:id="rId2"/>
    <sheet name="2mo_TCE_noEHM" sheetId="12" r:id="rId3"/>
    <sheet name="2mo_TCE_EHM" sheetId="11" r:id="rId4"/>
    <sheet name="2mo_CCl4_noEHM" sheetId="15" r:id="rId5"/>
    <sheet name="2mo_CCl4_EHM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7" i="10" l="1"/>
  <c r="E44" i="10"/>
  <c r="E47" i="11"/>
  <c r="E44" i="11"/>
  <c r="E47" i="14"/>
  <c r="E44" i="14"/>
  <c r="E83" i="15"/>
  <c r="E15" i="15" s="1"/>
  <c r="E16" i="15"/>
  <c r="E83" i="14"/>
  <c r="E15" i="14" s="1"/>
  <c r="E48" i="14"/>
  <c r="E45" i="14"/>
  <c r="E16" i="14"/>
  <c r="E83" i="12"/>
  <c r="E16" i="12"/>
  <c r="E15" i="12"/>
  <c r="E83" i="11"/>
  <c r="E48" i="11"/>
  <c r="E45" i="11"/>
  <c r="E16" i="11"/>
  <c r="E15" i="11"/>
  <c r="E48" i="10"/>
  <c r="E45" i="10"/>
  <c r="E83" i="10"/>
  <c r="E15" i="10" s="1"/>
  <c r="E16" i="10"/>
  <c r="E83" i="9"/>
  <c r="E16" i="9"/>
  <c r="E15" i="9"/>
</calcChain>
</file>

<file path=xl/sharedStrings.xml><?xml version="1.0" encoding="utf-8"?>
<sst xmlns="http://schemas.openxmlformats.org/spreadsheetml/2006/main" count="2130" uniqueCount="261">
  <si>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</si>
  <si>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</si>
  <si>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</si>
  <si>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</si>
  <si>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</si>
  <si>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</si>
  <si>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</si>
  <si>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</si>
  <si>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</si>
  <si>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</si>
  <si>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</si>
  <si>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</si>
  <si>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</si>
  <si>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</si>
  <si>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</si>
  <si>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</si>
  <si>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</si>
  <si>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</si>
  <si>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</si>
  <si>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</si>
  <si>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</si>
  <si>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</si>
  <si>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</si>
  <si>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</si>
  <si>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</si>
  <si>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</si>
  <si>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</si>
  <si>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</si>
  <si>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</si>
  <si>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</si>
  <si>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</si>
  <si>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</si>
  <si>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</si>
  <si>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</si>
  <si>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</si>
  <si>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</si>
  <si>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</si>
  <si>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</si>
  <si>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</si>
  <si>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</si>
  <si>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</si>
  <si>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</si>
  <si>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</si>
  <si>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</si>
  <si>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</si>
  <si>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</si>
  <si>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</si>
  <si>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</si>
  <si>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</si>
  <si>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</si>
  <si>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</si>
  <si>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</si>
  <si>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</si>
  <si>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</si>
  <si>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</si>
  <si>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</si>
  <si>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</si>
  <si>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</si>
  <si>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</si>
  <si>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</si>
  <si>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</si>
  <si>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</si>
  <si>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</si>
  <si>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</si>
  <si>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</si>
  <si>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</si>
  <si>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</si>
  <si>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</si>
  <si>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</si>
  <si>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</si>
  <si>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</si>
  <si>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</si>
  <si>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</si>
  <si>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</si>
  <si>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</si>
  <si>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</si>
  <si>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</si>
  <si>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</si>
  <si>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</si>
  <si>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</si>
  <si>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</si>
  <si>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</si>
  <si>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</si>
  <si>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</si>
  <si>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</si>
  <si>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</si>
  <si>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</si>
  <si>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</si>
  <si>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</si>
  <si>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</si>
  <si>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</si>
  <si>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</si>
  <si>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</si>
  <si>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</si>
  <si>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</si>
  <si>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</si>
  <si>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</si>
  <si>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</si>
  <si>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</si>
  <si>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</si>
  <si>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</si>
  <si>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</si>
  <si>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</si>
  <si>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</si>
  <si>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</si>
  <si>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</si>
  <si>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</si>
  <si>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</si>
  <si>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</si>
  <si>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</si>
  <si>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</si>
  <si>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</si>
  <si>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</si>
  <si>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</si>
  <si>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</si>
  <si>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</si>
  <si>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</si>
  <si>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</si>
  <si>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</si>
  <si>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</si>
  <si>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</si>
  <si>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</si>
  <si>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</si>
  <si>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</si>
  <si>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</si>
  <si>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</si>
  <si>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</si>
  <si>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</si>
  <si>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</si>
  <si>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</si>
  <si>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</si>
  <si>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</si>
  <si>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</si>
  <si>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</si>
  <si>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</si>
  <si>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</si>
  <si>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</si>
  <si>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</si>
  <si>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</si>
  <si>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</si>
  <si>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</si>
  <si>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</si>
  <si>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</si>
  <si>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</si>
  <si>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</si>
  <si>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</si>
  <si>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</si>
  <si>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</si>
  <si>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</si>
  <si>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</si>
  <si>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</si>
  <si>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</si>
  <si>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</si>
  <si>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</si>
  <si>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</si>
  <si>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</si>
  <si>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</si>
  <si>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</si>
  <si>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</si>
  <si>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</si>
  <si>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</si>
  <si>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</si>
  <si>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</si>
  <si>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</si>
  <si>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</si>
  <si>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</si>
  <si>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</si>
  <si>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</si>
  <si>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</si>
  <si>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</si>
  <si>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</si>
  <si>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</si>
  <si>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</si>
  <si>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</si>
  <si>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</si>
  <si>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</si>
  <si>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</si>
  <si>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</si>
  <si>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</si>
  <si>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</si>
  <si>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</si>
  <si>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</si>
  <si>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</si>
  <si>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</si>
  <si>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</si>
  <si>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</si>
  <si>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</si>
  <si>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</si>
  <si>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</si>
  <si>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</si>
  <si>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</si>
  <si>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</si>
  <si>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</si>
  <si>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</si>
  <si>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</si>
  <si>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</si>
  <si>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</si>
  <si>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</si>
  <si>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</si>
  <si>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</si>
  <si>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</si>
  <si>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</si>
  <si>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</si>
  <si>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</si>
  <si>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</si>
  <si>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</si>
  <si>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</si>
  <si>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</si>
  <si>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</si>
  <si>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</si>
  <si>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</si>
  <si>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</si>
  <si>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</si>
  <si>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</si>
  <si>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</si>
  <si>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</si>
  <si>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</si>
  <si>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</si>
  <si>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</si>
  <si>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</si>
  <si>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</si>
  <si>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</si>
  <si>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</si>
  <si>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</si>
  <si>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</si>
  <si>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</si>
  <si>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</si>
  <si>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</si>
  <si>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</si>
  <si>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</si>
  <si>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</si>
  <si>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</si>
  <si>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</si>
  <si>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</si>
  <si>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</si>
  <si>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</si>
  <si>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</si>
  <si>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</si>
  <si>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</si>
  <si>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</si>
  <si>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</si>
  <si>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</si>
  <si>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</si>
  <si>
    <t>rat</t>
  </si>
  <si>
    <t>male</t>
  </si>
  <si>
    <t>mg</t>
  </si>
  <si>
    <t>L</t>
  </si>
  <si>
    <t>h</t>
  </si>
  <si>
    <t>2</t>
  </si>
  <si>
    <t>slowly perfused</t>
  </si>
  <si>
    <t>fat</t>
  </si>
  <si>
    <t>brain</t>
  </si>
  <si>
    <t>rapidly perfused</t>
  </si>
  <si>
    <t>not used</t>
  </si>
  <si>
    <t>(V_invitro_kidney/V_invitro_liver)*(V_ki/V_Li)*V_maxc</t>
  </si>
  <si>
    <t>(V_invitro_lung/V_invitro_liver)*(V_lu/V_Li)*V_maxc</t>
  </si>
  <si>
    <t>VC</t>
  </si>
  <si>
    <t>2 month old</t>
  </si>
  <si>
    <t>TCE</t>
  </si>
  <si>
    <t>CCl4</t>
  </si>
  <si>
    <t>Value not provided in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</si>
</sst>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H105"/>
  <sheetViews>
    <sheetView tabSelected="1" topLeftCell="A19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256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62.5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2.7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0.1</v>
      </c>
      <c r="F42">
        <v>0.01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2.4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0.7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0.7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10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0.7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0.7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0.7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35" priority="4" operator="greaterThan">
      <formula>0</formula>
    </cfRule>
    <cfRule type="cellIs" dxfId="34" priority="5" operator="lessThan">
      <formula>0</formula>
    </cfRule>
    <cfRule type="cellIs" dxfId="33" priority="6" operator="equal">
      <formula>0</formula>
    </cfRule>
  </conditionalFormatting>
  <conditionalFormatting sqref="E16">
    <cfRule type="cellIs" dxfId="32" priority="1" operator="lessThan">
      <formula>0.8</formula>
    </cfRule>
    <cfRule type="cellIs" dxfId="31" priority="2" operator="greaterThan">
      <formula>1.2</formula>
    </cfRule>
    <cfRule type="cellIs" dxfId="3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4C27-B6E0-4A0D-B292-81C879A8192C}">
  <dimension ref="A1:H105"/>
  <sheetViews>
    <sheetView topLeftCell="A19" zoomScaleNormal="100" workbookViewId="0">
      <selection activeCell="E46" sqref="E46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256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62.5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2.65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0.1</v>
      </c>
      <c r="F42">
        <v>0.01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(0.65/13.7)*(E75/E67)*E41</f>
        <v>2.4532668684351076E-2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0.1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2.0719096789508042E-2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0.1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2.4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0.7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0.7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10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0.7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0.7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0.7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29" priority="4" operator="greaterThan">
      <formula>0</formula>
    </cfRule>
    <cfRule type="cellIs" dxfId="28" priority="5" operator="lessThan">
      <formula>0</formula>
    </cfRule>
    <cfRule type="cellIs" dxfId="27" priority="6" operator="equal">
      <formula>0</formula>
    </cfRule>
  </conditionalFormatting>
  <conditionalFormatting sqref="E16">
    <cfRule type="cellIs" dxfId="26" priority="1" operator="lessThan">
      <formula>0.8</formula>
    </cfRule>
    <cfRule type="cellIs" dxfId="25" priority="2" operator="greaterThan">
      <formula>1.2</formula>
    </cfRule>
    <cfRule type="cellIs" dxfId="24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B6D1-B456-4CA7-A0E5-EE5EF20AEC06}">
  <dimension ref="A1:H105"/>
  <sheetViews>
    <sheetView topLeftCell="A19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258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131.4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9.59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0.32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21.9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1.24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0.46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1.24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0.46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25.3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1.24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1.24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1.24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D1E4-1291-48AB-97F1-EECFF214E0D3}">
  <dimension ref="A1:H105"/>
  <sheetViews>
    <sheetView topLeftCell="A22" zoomScaleNormal="100" workbookViewId="0">
      <selection activeCell="E48" sqref="E48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258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131.4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9.48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0.35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(0.65/13.7)*((E75)/(E67))*E41</f>
        <v>8.7762150614206877E-2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0.35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7.4119636816806125E-2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0.35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21.9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1.24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0.46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1.24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0.46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25.3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1.24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1.24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1.24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6A4D-2683-4843-B6E1-6BE5AC4B2697}">
  <dimension ref="A1:H105"/>
  <sheetViews>
    <sheetView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259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153.82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0.13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1.1000000000000001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5.49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2.95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2.4300000000000002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2.95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2.4300000000000002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51.3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2.95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2.95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2.95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71BE-0569-42B3-92CF-188834673786}">
  <dimension ref="A1:H105"/>
  <sheetViews>
    <sheetView topLeftCell="A13" zoomScaleNormal="100" workbookViewId="0">
      <selection activeCell="F19" sqref="F19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E2" t="s">
        <v>259</v>
      </c>
      <c r="F2" t="s">
        <v>185</v>
      </c>
    </row>
    <row r="3" spans="1:6" x14ac:dyDescent="0.35">
      <c r="A3" s="1" t="s">
        <v>6</v>
      </c>
      <c r="B3" t="s">
        <v>7</v>
      </c>
      <c r="E3" t="s">
        <v>243</v>
      </c>
      <c r="F3" t="s">
        <v>257</v>
      </c>
    </row>
    <row r="4" spans="1:6" x14ac:dyDescent="0.35">
      <c r="A4" s="1" t="s">
        <v>8</v>
      </c>
      <c r="B4" t="s">
        <v>9</v>
      </c>
      <c r="E4" t="s">
        <v>244</v>
      </c>
    </row>
    <row r="5" spans="1:6" x14ac:dyDescent="0.35">
      <c r="A5" s="1" t="s">
        <v>10</v>
      </c>
      <c r="B5" t="s">
        <v>11</v>
      </c>
      <c r="C5" t="s">
        <v>12</v>
      </c>
      <c r="E5" t="s">
        <v>245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E6" t="s">
        <v>246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  <c r="E7" t="s">
        <v>247</v>
      </c>
    </row>
    <row r="8" spans="1:6" x14ac:dyDescent="0.35">
      <c r="A8" s="1" t="s">
        <v>20</v>
      </c>
      <c r="B8" t="s">
        <v>21</v>
      </c>
      <c r="C8" t="s">
        <v>19</v>
      </c>
      <c r="E8" t="s">
        <v>186</v>
      </c>
      <c r="F8" t="s">
        <v>238</v>
      </c>
    </row>
    <row r="9" spans="1:6" x14ac:dyDescent="0.35">
      <c r="A9" s="1" t="s">
        <v>242</v>
      </c>
      <c r="B9" t="s">
        <v>23</v>
      </c>
      <c r="C9" t="s">
        <v>24</v>
      </c>
      <c r="D9" s="2">
        <v>2</v>
      </c>
      <c r="E9" s="2" t="s">
        <v>248</v>
      </c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  <c r="E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  <c r="E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E12" t="s">
        <v>186</v>
      </c>
      <c r="F12" t="s">
        <v>237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  <c r="E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0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0.8842000000000001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  <c r="E19">
        <v>153.82</v>
      </c>
      <c r="F19" t="s">
        <v>260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223</v>
      </c>
      <c r="B22" t="s">
        <v>224</v>
      </c>
      <c r="D22">
        <v>-0.25</v>
      </c>
      <c r="F22" t="s">
        <v>226</v>
      </c>
    </row>
    <row r="23" spans="1:6" x14ac:dyDescent="0.35">
      <c r="A23" s="1" t="s">
        <v>31</v>
      </c>
      <c r="B23" t="s">
        <v>225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  <c r="E24">
        <v>15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236</v>
      </c>
    </row>
    <row r="33" spans="1:8" x14ac:dyDescent="0.35">
      <c r="A33" s="1" t="s">
        <v>52</v>
      </c>
      <c r="B33" t="s">
        <v>210</v>
      </c>
      <c r="C33" t="s">
        <v>36</v>
      </c>
      <c r="D33">
        <v>0</v>
      </c>
    </row>
    <row r="34" spans="1:8" x14ac:dyDescent="0.35">
      <c r="A34" s="1" t="s">
        <v>53</v>
      </c>
      <c r="B34" t="s">
        <v>211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168</v>
      </c>
      <c r="B36" t="s">
        <v>169</v>
      </c>
      <c r="C36" t="s">
        <v>194</v>
      </c>
      <c r="D36">
        <v>0</v>
      </c>
      <c r="F36" t="s">
        <v>232</v>
      </c>
    </row>
    <row r="37" spans="1:8" x14ac:dyDescent="0.35">
      <c r="A37" s="1" t="s">
        <v>56</v>
      </c>
      <c r="B37" t="s">
        <v>170</v>
      </c>
      <c r="C37" t="s">
        <v>194</v>
      </c>
      <c r="D37">
        <v>0</v>
      </c>
    </row>
    <row r="38" spans="1:8" x14ac:dyDescent="0.35">
      <c r="A38" s="1" t="s">
        <v>234</v>
      </c>
      <c r="B38" t="s">
        <v>57</v>
      </c>
      <c r="C38" t="s">
        <v>46</v>
      </c>
      <c r="D38">
        <v>1</v>
      </c>
    </row>
    <row r="39" spans="1:8" x14ac:dyDescent="0.35">
      <c r="A39" s="1" t="s">
        <v>233</v>
      </c>
      <c r="B39" t="s">
        <v>58</v>
      </c>
      <c r="C39" t="s">
        <v>59</v>
      </c>
      <c r="D39">
        <v>0</v>
      </c>
    </row>
    <row r="40" spans="1:8" x14ac:dyDescent="0.35">
      <c r="A40" s="1" t="s">
        <v>235</v>
      </c>
      <c r="B40" t="s">
        <v>60</v>
      </c>
      <c r="C40" t="s">
        <v>36</v>
      </c>
      <c r="D40">
        <v>0</v>
      </c>
    </row>
    <row r="41" spans="1:8" x14ac:dyDescent="0.35">
      <c r="A41" s="1" t="s">
        <v>145</v>
      </c>
      <c r="B41" t="s">
        <v>61</v>
      </c>
      <c r="C41" t="s">
        <v>193</v>
      </c>
      <c r="D41">
        <v>0</v>
      </c>
      <c r="E41">
        <v>0.13</v>
      </c>
      <c r="F41" t="s">
        <v>227</v>
      </c>
    </row>
    <row r="42" spans="1:8" x14ac:dyDescent="0.35">
      <c r="A42" s="1" t="s">
        <v>146</v>
      </c>
      <c r="B42" t="s">
        <v>62</v>
      </c>
      <c r="C42" t="s">
        <v>46</v>
      </c>
      <c r="D42">
        <v>1</v>
      </c>
      <c r="E42">
        <v>1.1399999999999999</v>
      </c>
    </row>
    <row r="43" spans="1:8" x14ac:dyDescent="0.35">
      <c r="A43" s="1" t="s">
        <v>147</v>
      </c>
      <c r="B43" t="s">
        <v>63</v>
      </c>
      <c r="C43" t="s">
        <v>241</v>
      </c>
      <c r="D43">
        <v>0</v>
      </c>
    </row>
    <row r="44" spans="1:8" x14ac:dyDescent="0.35">
      <c r="A44" s="1" t="s">
        <v>148</v>
      </c>
      <c r="B44" t="s">
        <v>64</v>
      </c>
      <c r="C44" t="s">
        <v>193</v>
      </c>
      <c r="D44">
        <v>0</v>
      </c>
      <c r="E44">
        <f>(0.65/13.7)*((E75)/(E67))*E41</f>
        <v>1.2034894071568454E-3</v>
      </c>
      <c r="F44" t="s">
        <v>254</v>
      </c>
      <c r="H44" t="s">
        <v>227</v>
      </c>
    </row>
    <row r="45" spans="1:8" x14ac:dyDescent="0.35">
      <c r="A45" s="1" t="s">
        <v>149</v>
      </c>
      <c r="B45" t="s">
        <v>65</v>
      </c>
      <c r="C45" t="s">
        <v>46</v>
      </c>
      <c r="D45">
        <v>1</v>
      </c>
      <c r="E45">
        <f>E42</f>
        <v>1.1399999999999999</v>
      </c>
    </row>
    <row r="46" spans="1:8" x14ac:dyDescent="0.35">
      <c r="A46" s="1" t="s">
        <v>207</v>
      </c>
      <c r="B46" t="s">
        <v>208</v>
      </c>
      <c r="C46" t="s">
        <v>241</v>
      </c>
      <c r="D46">
        <v>0</v>
      </c>
    </row>
    <row r="47" spans="1:8" x14ac:dyDescent="0.35">
      <c r="A47" s="1" t="s">
        <v>150</v>
      </c>
      <c r="B47" t="s">
        <v>66</v>
      </c>
      <c r="C47" t="s">
        <v>193</v>
      </c>
      <c r="D47">
        <v>0</v>
      </c>
      <c r="E47">
        <f>(0.85/13.7)*(E65/E67)*E41</f>
        <v>1.016408521749451E-3</v>
      </c>
      <c r="F47" t="s">
        <v>255</v>
      </c>
      <c r="H47" t="s">
        <v>227</v>
      </c>
    </row>
    <row r="48" spans="1:8" x14ac:dyDescent="0.35">
      <c r="A48" s="1" t="s">
        <v>151</v>
      </c>
      <c r="B48" t="s">
        <v>67</v>
      </c>
      <c r="C48" t="s">
        <v>46</v>
      </c>
      <c r="D48">
        <v>1</v>
      </c>
      <c r="E48">
        <f>E42</f>
        <v>1.1399999999999999</v>
      </c>
    </row>
    <row r="49" spans="1:6" x14ac:dyDescent="0.35">
      <c r="A49" s="1" t="s">
        <v>152</v>
      </c>
      <c r="B49" t="s">
        <v>68</v>
      </c>
      <c r="C49" t="s">
        <v>241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  <c r="E50">
        <v>1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  <c r="E52">
        <v>5.49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228</v>
      </c>
      <c r="B58" t="s">
        <v>229</v>
      </c>
      <c r="C58" t="s">
        <v>231</v>
      </c>
      <c r="D58">
        <v>0</v>
      </c>
      <c r="F58" t="s">
        <v>230</v>
      </c>
    </row>
    <row r="59" spans="1:6" x14ac:dyDescent="0.35">
      <c r="A59" s="1" t="s">
        <v>41</v>
      </c>
      <c r="B59" t="s">
        <v>239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E65">
        <v>6.1999999999999998E-3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E66">
        <v>4.9700000000000001E-2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E67">
        <v>4.9200000000000001E-2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253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253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E70">
        <v>0.67110000000000003</v>
      </c>
      <c r="F70" t="s">
        <v>249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E71">
        <v>8.1299999999999997E-2</v>
      </c>
      <c r="F71" t="s">
        <v>250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E72">
        <v>1.18E-2</v>
      </c>
      <c r="F72" t="s">
        <v>251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E73">
        <v>5.3E-3</v>
      </c>
      <c r="F73" t="s">
        <v>252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253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E75">
        <v>9.5999999999999992E-3</v>
      </c>
      <c r="F75" t="s">
        <v>222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253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E77">
        <v>0.20599999999999999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E78">
        <v>1.0800000000000001E-2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253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E80">
        <v>0.48720000000000002</v>
      </c>
      <c r="F80" t="s">
        <v>249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E81">
        <v>5.2999999999999999E-2</v>
      </c>
      <c r="F81" t="s">
        <v>250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E82">
        <v>4.1200000000000001E-2</v>
      </c>
      <c r="F82" t="s">
        <v>251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E83">
        <f>1-E77-E78-E80-E81-E82-E85</f>
        <v>7.2299999999999975E-2</v>
      </c>
      <c r="F83" t="s">
        <v>252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253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E85">
        <v>0.1295</v>
      </c>
      <c r="F85" t="s">
        <v>222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253</v>
      </c>
    </row>
    <row r="87" spans="1:6" x14ac:dyDescent="0.35">
      <c r="A87" s="1" t="s">
        <v>121</v>
      </c>
      <c r="B87" t="s">
        <v>113</v>
      </c>
      <c r="D87">
        <v>1</v>
      </c>
      <c r="E87">
        <v>2.95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E88">
        <v>2.4300000000000002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E89">
        <v>2.95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253</v>
      </c>
    </row>
    <row r="91" spans="1:6" x14ac:dyDescent="0.35">
      <c r="A91" s="1" t="s">
        <v>125</v>
      </c>
      <c r="B91" t="s">
        <v>175</v>
      </c>
      <c r="D91">
        <v>1</v>
      </c>
      <c r="E91">
        <v>2.4300000000000002</v>
      </c>
      <c r="F91" t="s">
        <v>249</v>
      </c>
    </row>
    <row r="92" spans="1:6" x14ac:dyDescent="0.35">
      <c r="A92" s="1" t="s">
        <v>126</v>
      </c>
      <c r="B92" t="s">
        <v>161</v>
      </c>
      <c r="D92">
        <v>1</v>
      </c>
      <c r="E92">
        <v>51.3</v>
      </c>
      <c r="F92" t="s">
        <v>250</v>
      </c>
    </row>
    <row r="93" spans="1:6" x14ac:dyDescent="0.35">
      <c r="A93" s="1" t="s">
        <v>127</v>
      </c>
      <c r="B93" t="s">
        <v>116</v>
      </c>
      <c r="D93">
        <v>1</v>
      </c>
      <c r="E93">
        <v>2.95</v>
      </c>
      <c r="F93" t="s">
        <v>251</v>
      </c>
    </row>
    <row r="94" spans="1:6" x14ac:dyDescent="0.35">
      <c r="A94" s="1" t="s">
        <v>128</v>
      </c>
      <c r="B94" t="s">
        <v>117</v>
      </c>
      <c r="D94">
        <v>1</v>
      </c>
      <c r="E94">
        <v>2.95</v>
      </c>
      <c r="F94" t="s">
        <v>252</v>
      </c>
    </row>
    <row r="95" spans="1:6" x14ac:dyDescent="0.35">
      <c r="A95" s="1" t="s">
        <v>129</v>
      </c>
      <c r="B95" t="s">
        <v>118</v>
      </c>
      <c r="D95">
        <v>1</v>
      </c>
      <c r="F95" t="s">
        <v>253</v>
      </c>
    </row>
    <row r="96" spans="1:6" x14ac:dyDescent="0.35">
      <c r="A96" s="1" t="s">
        <v>130</v>
      </c>
      <c r="B96" t="s">
        <v>133</v>
      </c>
      <c r="D96">
        <v>1</v>
      </c>
      <c r="E96">
        <v>2.95</v>
      </c>
      <c r="F96" t="s">
        <v>222</v>
      </c>
    </row>
    <row r="97" spans="1:6" x14ac:dyDescent="0.35">
      <c r="A97" s="1" t="s">
        <v>159</v>
      </c>
      <c r="B97" t="s">
        <v>160</v>
      </c>
      <c r="D97">
        <v>1</v>
      </c>
      <c r="F97" t="s">
        <v>253</v>
      </c>
    </row>
    <row r="99" spans="1:6" x14ac:dyDescent="0.35">
      <c r="A99" s="1" t="s">
        <v>0</v>
      </c>
      <c r="B99" s="1" t="s">
        <v>240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936892F2-3493-4DE6-B075-7F4AC4F5456D}"/>
</file>

<file path=customXml/itemProps3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2mo_VC_noEHM</vt:lpstr>
      <vt:lpstr>2mo_VC_EHM</vt:lpstr>
      <vt:lpstr>2mo_TCE_noEHM</vt:lpstr>
      <vt:lpstr>2mo_TCE_EHM</vt:lpstr>
      <vt:lpstr>2mo_CCl4_noEHM</vt:lpstr>
      <vt:lpstr>2mo_CCl4_EHM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2023-02-01T20:21:33Z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