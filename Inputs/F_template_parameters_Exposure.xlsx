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schlosser_paul_epa_gov/Documents/mcsim-5.6.5/PBPK_Model_Template_Mod/Inputs/"/>
    </mc:Choice>
  </mc:AlternateContent>
  <xr:revisionPtr revIDLastSave="119" documentId="8_{CCC1AF48-AB15-40A9-B09E-0F30F3DE7B44}" xr6:coauthVersionLast="47" xr6:coauthVersionMax="47" xr10:uidLastSave="{CC0C98AC-6E90-442D-B812-E58DCB060E26}"/>
  <bookViews>
    <workbookView minimized="1" xWindow="-495" yWindow="810" windowWidth="21600" windowHeight="12585" xr2:uid="{089E7848-11EB-427A-89EA-83825F220BA0}"/>
  </bookViews>
  <sheets>
    <sheet name="Four_year_old" sheetId="9" r:id="rId1"/>
    <sheet name="Eight_year_old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3" i="9" l="1"/>
  <c r="F22" i="9"/>
  <c r="L34" i="9"/>
  <c r="E22" i="9"/>
  <c r="L32" i="9"/>
  <c r="H33" i="9"/>
  <c r="I33" i="9"/>
  <c r="J33" i="9"/>
  <c r="K33" i="9"/>
  <c r="G33" i="9"/>
  <c r="K32" i="9"/>
  <c r="H32" i="9"/>
  <c r="I32" i="9"/>
  <c r="J32" i="9"/>
  <c r="G32" i="9"/>
  <c r="E16" i="9"/>
  <c r="K32" i="10"/>
  <c r="J32" i="10"/>
  <c r="I32" i="10"/>
  <c r="H32" i="10"/>
  <c r="G32" i="10"/>
  <c r="K30" i="10"/>
  <c r="J30" i="10"/>
  <c r="I30" i="10"/>
  <c r="H30" i="10"/>
  <c r="G30" i="10"/>
  <c r="K30" i="9"/>
  <c r="J30" i="9"/>
  <c r="I30" i="9"/>
  <c r="H30" i="9"/>
  <c r="G30" i="9"/>
  <c r="L33" i="9" l="1"/>
  <c r="K34" i="9"/>
  <c r="E32" i="10"/>
  <c r="K33" i="10"/>
</calcChain>
</file>

<file path=xl/sharedStrings.xml><?xml version="1.0" encoding="utf-8"?>
<sst xmlns="http://schemas.openxmlformats.org/spreadsheetml/2006/main" count="285" uniqueCount="129">
  <si>
    <t>Code</t>
  </si>
  <si>
    <t>Value</t>
  </si>
  <si>
    <t>Units</t>
  </si>
  <si>
    <t>sim.time</t>
  </si>
  <si>
    <t>End Time of Simulation</t>
  </si>
  <si>
    <t>days</t>
  </si>
  <si>
    <t>mass/kg BW</t>
  </si>
  <si>
    <t>Conc_init</t>
  </si>
  <si>
    <t>Inhalation: Initial Concentration</t>
  </si>
  <si>
    <t>ppm</t>
  </si>
  <si>
    <t>NCH</t>
  </si>
  <si>
    <t>Inhalation: Number of Animals in Chamber</t>
  </si>
  <si>
    <t>VCHC</t>
  </si>
  <si>
    <t>Inhalation: Volume of Closed Chamber unadjusted for animal size</t>
  </si>
  <si>
    <t>volume</t>
  </si>
  <si>
    <t>KL</t>
  </si>
  <si>
    <t>Inhalation: Decay Rate of Amount in Chamber</t>
  </si>
  <si>
    <t>1/time</t>
  </si>
  <si>
    <t>Dosing/Scenario Parameter</t>
  </si>
  <si>
    <t>dose_oral</t>
  </si>
  <si>
    <t>Oral: Bolus Dose</t>
  </si>
  <si>
    <t>dose_iv</t>
  </si>
  <si>
    <t>IV: Bolus Dose</t>
  </si>
  <si>
    <t>Inhalation: Periodic: Start Time of Exposure</t>
  </si>
  <si>
    <t>time</t>
  </si>
  <si>
    <t>Model Information</t>
  </si>
  <si>
    <t>Possible Answers</t>
  </si>
  <si>
    <t>Notes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</si>
  <si>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</si>
  <si>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</si>
  <si>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</si>
  <si>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</si>
  <si>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</si>
  <si>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</si>
  <si>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</si>
  <si>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</si>
  <si>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</si>
  <si>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</si>
  <si>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</si>
  <si>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</si>
  <si>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</si>
  <si>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</si>
  <si>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</si>
  <si>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End of File</t>
  </si>
  <si>
    <t>Use the units specified here for the parameters below unless otherwise specified.</t>
  </si>
  <si>
    <t>The model is automatically converted to, run, and output in units of mg, L, h.</t>
  </si>
  <si>
    <t>R_0bgli</t>
  </si>
  <si>
    <t>Zero Order rate of endogenous production in liver</t>
  </si>
  <si>
    <t>C_ven_SS</t>
  </si>
  <si>
    <t>Concentration in venous blood at steady state</t>
  </si>
  <si>
    <t>mg/L</t>
  </si>
  <si>
    <t>Default Value</t>
  </si>
  <si>
    <t>Columns F and further right can be used for notes and will not be used by the model simulation code.</t>
  </si>
  <si>
    <t>T_iv_infuse</t>
  </si>
  <si>
    <t>IV: Infusion Time</t>
  </si>
  <si>
    <t>n.doses_water</t>
  </si>
  <si>
    <t>Drinking Water: Periodic Exposure: Number of Doses per day</t>
  </si>
  <si>
    <t>Drinking Water: Periodic Exposure: Time of first dose each day</t>
  </si>
  <si>
    <t>dose_water</t>
  </si>
  <si>
    <t>Drinking Water: Periodic Exposure: Total dose per day</t>
  </si>
  <si>
    <t>water.equal</t>
  </si>
  <si>
    <t>equal, unequal</t>
  </si>
  <si>
    <t>Inhalation: End time of exposure (single exposure)</t>
  </si>
  <si>
    <t>time.exp.starts</t>
  </si>
  <si>
    <t>length.exp.day</t>
  </si>
  <si>
    <t>Inhalation: Periodic Exposure - length of time exposed per day</t>
  </si>
  <si>
    <t>N.days.exp</t>
  </si>
  <si>
    <t>Inhalation: Periodic Exposure - Number of days per week exposed</t>
  </si>
  <si>
    <t>oral.dose</t>
  </si>
  <si>
    <t>Oral dose?</t>
  </si>
  <si>
    <t>Y or N</t>
  </si>
  <si>
    <t>IV.dose</t>
  </si>
  <si>
    <t>IV dose?</t>
  </si>
  <si>
    <t>inhal.dose</t>
  </si>
  <si>
    <t>Inhalation dose?</t>
  </si>
  <si>
    <t>Water dosing (periodic bolus oral dosing)</t>
  </si>
  <si>
    <t>If water dosing, is the dose assumed equally proportioned over the day?</t>
  </si>
  <si>
    <t>water.dose</t>
  </si>
  <si>
    <t>mg/h</t>
  </si>
  <si>
    <t>R</t>
  </si>
  <si>
    <t>Temp</t>
  </si>
  <si>
    <t>RTemp</t>
  </si>
  <si>
    <t>Ideal Gas Constant (R) times Temperature (in Kelvin)*</t>
  </si>
  <si>
    <t>Temperature</t>
  </si>
  <si>
    <t>Kelvin</t>
  </si>
  <si>
    <t>BW</t>
  </si>
  <si>
    <t>kg</t>
  </si>
  <si>
    <t>Body Mass</t>
  </si>
  <si>
    <t>BW_constant</t>
  </si>
  <si>
    <t>Body weight is constant?</t>
  </si>
  <si>
    <t>default is 25 deg C</t>
  </si>
  <si>
    <t>Ideal Gas Constant at 1 atm</t>
  </si>
  <si>
    <t>1000 L*ppm/Kelvin/mol</t>
  </si>
  <si>
    <t>1000 L*ppm/mol</t>
  </si>
  <si>
    <t>Used to compute R_0bgli if not provided directly.</t>
  </si>
  <si>
    <t>This should be R*Temp: This quantity divides the molecular weight to obtain a conversation factor that takes a concentration of chemical from units of ppm to units of mg/L.</t>
  </si>
  <si>
    <t>If not constant, provide table of values and corresponding times as input to PBPK_run()</t>
  </si>
  <si>
    <t>If unequal, provide vector of proportions as input to PBPK_run()</t>
  </si>
  <si>
    <t>t.first.dose_water</t>
  </si>
  <si>
    <t>t.final.dose_water</t>
  </si>
  <si>
    <t>Drinking Water: Periodic Exposure: Time of final dose each day</t>
  </si>
  <si>
    <t>h (24 hour clock)</t>
  </si>
  <si>
    <t>inh.stop.time</t>
  </si>
  <si>
    <t>Four-year-old child</t>
  </si>
  <si>
    <t>toothpaste</t>
  </si>
  <si>
    <t>Diet</t>
  </si>
  <si>
    <t>Soil</t>
  </si>
  <si>
    <t>Air</t>
  </si>
  <si>
    <t>Media</t>
  </si>
  <si>
    <t>Bioavailability</t>
  </si>
  <si>
    <t>mg</t>
  </si>
  <si>
    <t>L</t>
  </si>
  <si>
    <t>Flourine</t>
  </si>
  <si>
    <t>Human</t>
  </si>
  <si>
    <t>NA</t>
  </si>
  <si>
    <t>h</t>
  </si>
  <si>
    <t>Y</t>
  </si>
  <si>
    <t>N</t>
  </si>
  <si>
    <t>Total intake (mg/kg/d)</t>
  </si>
  <si>
    <t>(mg/d)</t>
  </si>
  <si>
    <t>Water (0.442 L/d x 0.7 mg/L )</t>
  </si>
  <si>
    <t>Net intaked (mg/d)</t>
  </si>
  <si>
    <t>Frac from water:</t>
  </si>
  <si>
    <t>Eight-year-old child</t>
  </si>
  <si>
    <t>Net intaked (mg/kg/d)</t>
  </si>
  <si>
    <t>(mg/kg/h)</t>
  </si>
  <si>
    <t>(mg/h)</t>
  </si>
  <si>
    <t>Zero-order infustion</t>
  </si>
  <si>
    <t>Total dose (mg)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</si>
</sst>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7"/>
      <color rgb="FF0645AD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AAA3-4823-45FD-8570-D25DAB8AD8C8}">
  <dimension ref="A1:N39"/>
  <sheetViews>
    <sheetView tabSelected="1" topLeftCell="A16" workbookViewId="0">
      <selection activeCell="D41" sqref="D41"/>
    </sheetView>
  </sheetViews>
  <sheetFormatPr defaultRowHeight="14.25" x14ac:dyDescent="0.45"/>
  <cols>
    <col min="1" max="1" width="13.73046875" style="1" bestFit="1" customWidth="1"/>
    <col min="2" max="2" width="45.59765625" customWidth="1"/>
    <col min="3" max="3" width="15.73046875" bestFit="1" customWidth="1"/>
    <col min="4" max="4" width="14.59765625" customWidth="1"/>
    <col min="5" max="5" width="12.265625" customWidth="1"/>
    <col min="6" max="6" width="23.1328125" customWidth="1"/>
    <col min="7" max="7" width="12.3984375" bestFit="1" customWidth="1"/>
    <col min="8" max="8" width="13.59765625" customWidth="1"/>
    <col min="9" max="9" width="12" customWidth="1"/>
    <col min="10" max="10" width="15.265625" customWidth="1"/>
    <col min="12" max="12" width="10.59765625" customWidth="1"/>
  </cols>
  <sheetData>
    <row r="1" spans="1:6" x14ac:dyDescent="0.4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45">
      <c r="A2" s="1" t="s">
        <v>28</v>
      </c>
      <c r="B2" t="s">
        <v>29</v>
      </c>
      <c r="E2" t="s">
        <v>112</v>
      </c>
      <c r="F2" t="s">
        <v>52</v>
      </c>
    </row>
    <row r="3" spans="1:6" x14ac:dyDescent="0.45">
      <c r="A3" s="1" t="s">
        <v>30</v>
      </c>
      <c r="B3" t="s">
        <v>31</v>
      </c>
      <c r="E3" t="s">
        <v>113</v>
      </c>
    </row>
    <row r="4" spans="1:6" x14ac:dyDescent="0.45">
      <c r="A4" s="1" t="s">
        <v>32</v>
      </c>
      <c r="B4" t="s">
        <v>33</v>
      </c>
      <c r="E4" t="s">
        <v>114</v>
      </c>
    </row>
    <row r="5" spans="1:6" x14ac:dyDescent="0.45">
      <c r="A5" s="1" t="s">
        <v>34</v>
      </c>
      <c r="B5" t="s">
        <v>35</v>
      </c>
      <c r="C5" t="s">
        <v>36</v>
      </c>
      <c r="E5" t="s">
        <v>110</v>
      </c>
      <c r="F5" t="s">
        <v>44</v>
      </c>
    </row>
    <row r="6" spans="1:6" x14ac:dyDescent="0.45">
      <c r="A6" s="1" t="s">
        <v>37</v>
      </c>
      <c r="B6" t="s">
        <v>38</v>
      </c>
      <c r="C6" t="s">
        <v>39</v>
      </c>
      <c r="E6" t="s">
        <v>111</v>
      </c>
      <c r="F6" t="s">
        <v>45</v>
      </c>
    </row>
    <row r="7" spans="1:6" x14ac:dyDescent="0.45">
      <c r="A7" s="1" t="s">
        <v>40</v>
      </c>
      <c r="B7" t="s">
        <v>41</v>
      </c>
      <c r="C7" t="s">
        <v>42</v>
      </c>
      <c r="E7" t="s">
        <v>115</v>
      </c>
    </row>
    <row r="8" spans="1:6" x14ac:dyDescent="0.45">
      <c r="A8" s="1" t="s">
        <v>88</v>
      </c>
      <c r="B8" t="s">
        <v>89</v>
      </c>
      <c r="C8" t="s">
        <v>70</v>
      </c>
      <c r="E8" t="s">
        <v>116</v>
      </c>
      <c r="F8" t="s">
        <v>96</v>
      </c>
    </row>
    <row r="9" spans="1:6" x14ac:dyDescent="0.45">
      <c r="A9" s="1" t="s">
        <v>77</v>
      </c>
      <c r="B9" t="s">
        <v>75</v>
      </c>
      <c r="C9" t="s">
        <v>70</v>
      </c>
      <c r="E9" t="s">
        <v>117</v>
      </c>
    </row>
    <row r="10" spans="1:6" x14ac:dyDescent="0.45">
      <c r="A10" s="1" t="s">
        <v>60</v>
      </c>
      <c r="B10" t="s">
        <v>76</v>
      </c>
      <c r="C10" t="s">
        <v>61</v>
      </c>
      <c r="F10" t="s">
        <v>97</v>
      </c>
    </row>
    <row r="11" spans="1:6" x14ac:dyDescent="0.45">
      <c r="A11" s="1" t="s">
        <v>68</v>
      </c>
      <c r="B11" t="s">
        <v>69</v>
      </c>
      <c r="C11" t="s">
        <v>70</v>
      </c>
      <c r="E11" t="s">
        <v>117</v>
      </c>
    </row>
    <row r="12" spans="1:6" x14ac:dyDescent="0.45">
      <c r="A12" s="1" t="s">
        <v>71</v>
      </c>
      <c r="B12" t="s">
        <v>72</v>
      </c>
      <c r="C12" t="s">
        <v>70</v>
      </c>
      <c r="E12" t="s">
        <v>116</v>
      </c>
    </row>
    <row r="13" spans="1:6" x14ac:dyDescent="0.45">
      <c r="A13" s="1" t="s">
        <v>73</v>
      </c>
      <c r="B13" t="s">
        <v>74</v>
      </c>
      <c r="C13" t="s">
        <v>70</v>
      </c>
      <c r="E13" t="s">
        <v>117</v>
      </c>
    </row>
    <row r="15" spans="1:6" x14ac:dyDescent="0.4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45">
      <c r="A16" s="1" t="s">
        <v>3</v>
      </c>
      <c r="B16" t="s">
        <v>4</v>
      </c>
      <c r="C16" t="s">
        <v>5</v>
      </c>
      <c r="E16">
        <f>2160/24</f>
        <v>90</v>
      </c>
      <c r="F16" s="2"/>
    </row>
    <row r="17" spans="1:14" x14ac:dyDescent="0.45">
      <c r="A17" s="1" t="s">
        <v>79</v>
      </c>
      <c r="B17" t="s">
        <v>91</v>
      </c>
      <c r="C17" t="s">
        <v>92</v>
      </c>
      <c r="D17">
        <v>82.057366080959994</v>
      </c>
    </row>
    <row r="18" spans="1:14" x14ac:dyDescent="0.45">
      <c r="A18" s="1" t="s">
        <v>80</v>
      </c>
      <c r="B18" t="s">
        <v>83</v>
      </c>
      <c r="C18" t="s">
        <v>84</v>
      </c>
      <c r="D18">
        <v>298</v>
      </c>
      <c r="F18" t="s">
        <v>90</v>
      </c>
    </row>
    <row r="19" spans="1:14" x14ac:dyDescent="0.45">
      <c r="A19" s="1" t="s">
        <v>81</v>
      </c>
      <c r="B19" t="s">
        <v>82</v>
      </c>
      <c r="C19" t="s">
        <v>93</v>
      </c>
      <c r="D19">
        <v>24450</v>
      </c>
      <c r="F19" t="s">
        <v>95</v>
      </c>
    </row>
    <row r="20" spans="1:14" x14ac:dyDescent="0.45">
      <c r="A20" s="1" t="s">
        <v>85</v>
      </c>
      <c r="B20" t="s">
        <v>87</v>
      </c>
      <c r="C20" t="s">
        <v>86</v>
      </c>
      <c r="D20">
        <v>0</v>
      </c>
      <c r="E20" s="3">
        <v>16</v>
      </c>
      <c r="F20" s="3" t="s">
        <v>103</v>
      </c>
    </row>
    <row r="21" spans="1:14" x14ac:dyDescent="0.45">
      <c r="A21" s="1" t="s">
        <v>19</v>
      </c>
      <c r="B21" t="s">
        <v>20</v>
      </c>
      <c r="C21" t="s">
        <v>6</v>
      </c>
      <c r="D21">
        <v>0</v>
      </c>
    </row>
    <row r="22" spans="1:14" x14ac:dyDescent="0.45">
      <c r="A22" s="1" t="s">
        <v>21</v>
      </c>
      <c r="B22" t="s">
        <v>22</v>
      </c>
      <c r="C22" t="s">
        <v>6</v>
      </c>
      <c r="D22">
        <v>0</v>
      </c>
      <c r="E22" s="3">
        <f>L32*E23</f>
        <v>1.9480837499999999</v>
      </c>
      <c r="F22">
        <f>E22*E20</f>
        <v>31.169339999999998</v>
      </c>
    </row>
    <row r="23" spans="1:14" x14ac:dyDescent="0.45">
      <c r="A23" s="1" t="s">
        <v>53</v>
      </c>
      <c r="B23" t="s">
        <v>54</v>
      </c>
      <c r="C23" t="s">
        <v>24</v>
      </c>
      <c r="E23" s="3">
        <v>720</v>
      </c>
      <c r="F23">
        <f>F22/E23</f>
        <v>4.3290749999999996E-2</v>
      </c>
    </row>
    <row r="24" spans="1:14" x14ac:dyDescent="0.45">
      <c r="A24" s="1" t="s">
        <v>7</v>
      </c>
      <c r="B24" t="s">
        <v>8</v>
      </c>
      <c r="C24" t="s">
        <v>9</v>
      </c>
      <c r="D24">
        <v>0</v>
      </c>
    </row>
    <row r="25" spans="1:14" x14ac:dyDescent="0.45">
      <c r="A25" s="1" t="s">
        <v>10</v>
      </c>
      <c r="B25" t="s">
        <v>11</v>
      </c>
      <c r="D25">
        <v>0</v>
      </c>
    </row>
    <row r="26" spans="1:14" x14ac:dyDescent="0.45">
      <c r="A26" s="1" t="s">
        <v>12</v>
      </c>
      <c r="B26" t="s">
        <v>13</v>
      </c>
      <c r="C26" t="s">
        <v>14</v>
      </c>
      <c r="D26">
        <v>0</v>
      </c>
    </row>
    <row r="27" spans="1:14" x14ac:dyDescent="0.45">
      <c r="A27" s="1" t="s">
        <v>15</v>
      </c>
      <c r="B27" t="s">
        <v>16</v>
      </c>
      <c r="C27" t="s">
        <v>17</v>
      </c>
      <c r="D27">
        <v>0</v>
      </c>
    </row>
    <row r="28" spans="1:14" x14ac:dyDescent="0.45">
      <c r="A28" s="1" t="s">
        <v>102</v>
      </c>
      <c r="B28" t="s">
        <v>62</v>
      </c>
      <c r="C28" t="s">
        <v>24</v>
      </c>
    </row>
    <row r="29" spans="1:14" x14ac:dyDescent="0.45">
      <c r="A29" s="1" t="s">
        <v>63</v>
      </c>
      <c r="B29" t="s">
        <v>23</v>
      </c>
      <c r="C29" t="s">
        <v>24</v>
      </c>
      <c r="F29" s="3" t="s">
        <v>108</v>
      </c>
      <c r="G29" s="3" t="s">
        <v>104</v>
      </c>
      <c r="H29" s="3" t="s">
        <v>105</v>
      </c>
      <c r="I29" s="3" t="s">
        <v>106</v>
      </c>
      <c r="J29" s="3" t="s">
        <v>107</v>
      </c>
      <c r="K29" s="4" t="s">
        <v>120</v>
      </c>
      <c r="L29" s="4"/>
      <c r="M29" s="4"/>
    </row>
    <row r="30" spans="1:14" x14ac:dyDescent="0.45">
      <c r="A30" s="1" t="s">
        <v>64</v>
      </c>
      <c r="B30" t="s">
        <v>65</v>
      </c>
      <c r="C30" t="s">
        <v>24</v>
      </c>
      <c r="F30" s="3" t="s">
        <v>118</v>
      </c>
      <c r="G30" s="3">
        <f>40/1000</f>
        <v>0.04</v>
      </c>
      <c r="H30" s="3">
        <f>21/1000</f>
        <v>2.1000000000000001E-2</v>
      </c>
      <c r="I30" s="3">
        <f>1.19/1000</f>
        <v>1.1899999999999999E-3</v>
      </c>
      <c r="J30" s="3">
        <f>0.01/1000</f>
        <v>1.0000000000000001E-5</v>
      </c>
      <c r="K30" s="4">
        <f>0.442*0.7</f>
        <v>0.30940000000000001</v>
      </c>
      <c r="L30" s="4" t="s">
        <v>119</v>
      </c>
    </row>
    <row r="31" spans="1:14" x14ac:dyDescent="0.45">
      <c r="A31" s="1" t="s">
        <v>66</v>
      </c>
      <c r="B31" t="s">
        <v>67</v>
      </c>
      <c r="F31" s="3" t="s">
        <v>109</v>
      </c>
      <c r="G31" s="3">
        <v>1</v>
      </c>
      <c r="H31" s="3">
        <v>0.4</v>
      </c>
      <c r="I31" s="3">
        <v>0.4</v>
      </c>
      <c r="J31" s="3">
        <v>1</v>
      </c>
      <c r="K31" s="3">
        <v>0.83</v>
      </c>
      <c r="L31" s="6" t="s">
        <v>127</v>
      </c>
      <c r="M31" s="6"/>
      <c r="N31" s="6"/>
    </row>
    <row r="32" spans="1:14" x14ac:dyDescent="0.45">
      <c r="A32" s="1" t="s">
        <v>46</v>
      </c>
      <c r="B32" t="s">
        <v>47</v>
      </c>
      <c r="C32" t="s">
        <v>78</v>
      </c>
      <c r="D32">
        <v>0</v>
      </c>
      <c r="F32" s="3" t="s">
        <v>124</v>
      </c>
      <c r="G32" s="3">
        <f>G30*G31</f>
        <v>0.04</v>
      </c>
      <c r="H32" s="3">
        <f t="shared" ref="H32:J32" si="0">H30*H31</f>
        <v>8.4000000000000012E-3</v>
      </c>
      <c r="I32" s="3">
        <f t="shared" si="0"/>
        <v>4.7599999999999997E-4</v>
      </c>
      <c r="J32" s="3">
        <f t="shared" si="0"/>
        <v>1.0000000000000001E-5</v>
      </c>
      <c r="K32" s="3">
        <f>K30*K31/E20</f>
        <v>1.6050124999999998E-2</v>
      </c>
      <c r="L32" s="7">
        <f>SUM($G$32:$K$32)/24</f>
        <v>2.7056718749999997E-3</v>
      </c>
      <c r="M32" s="6" t="s">
        <v>125</v>
      </c>
      <c r="N32" s="6"/>
    </row>
    <row r="33" spans="1:14" x14ac:dyDescent="0.45">
      <c r="A33" s="1" t="s">
        <v>48</v>
      </c>
      <c r="B33" t="s">
        <v>49</v>
      </c>
      <c r="C33" t="s">
        <v>50</v>
      </c>
      <c r="F33" s="3" t="s">
        <v>121</v>
      </c>
      <c r="G33" s="3">
        <f>G32*$E$20</f>
        <v>0.64</v>
      </c>
      <c r="H33" s="3">
        <f t="shared" ref="H33:K33" si="1">H32*$E$20</f>
        <v>0.13440000000000002</v>
      </c>
      <c r="I33" s="3">
        <f t="shared" si="1"/>
        <v>7.6159999999999995E-3</v>
      </c>
      <c r="J33" s="3">
        <f t="shared" si="1"/>
        <v>1.6000000000000001E-4</v>
      </c>
      <c r="K33" s="3">
        <f t="shared" si="1"/>
        <v>0.25680199999999997</v>
      </c>
      <c r="L33" s="7">
        <f>SUM($G$33:$K$33)/24</f>
        <v>4.3290749999999996E-2</v>
      </c>
      <c r="M33" s="6" t="s">
        <v>126</v>
      </c>
      <c r="N33" s="6"/>
    </row>
    <row r="34" spans="1:14" x14ac:dyDescent="0.45">
      <c r="A34" s="1" t="s">
        <v>55</v>
      </c>
      <c r="B34" t="s">
        <v>56</v>
      </c>
      <c r="F34" t="s">
        <v>94</v>
      </c>
      <c r="J34" s="5" t="s">
        <v>122</v>
      </c>
      <c r="K34" s="5">
        <f>K33/SUM(G33:K33)</f>
        <v>0.247167889984196</v>
      </c>
      <c r="L34" s="6">
        <f>L33*E23</f>
        <v>31.169339999999998</v>
      </c>
      <c r="M34" s="6" t="s">
        <v>128</v>
      </c>
      <c r="N34" s="6"/>
    </row>
    <row r="35" spans="1:14" x14ac:dyDescent="0.45">
      <c r="A35" s="1" t="s">
        <v>98</v>
      </c>
      <c r="B35" t="s">
        <v>57</v>
      </c>
      <c r="C35" t="s">
        <v>101</v>
      </c>
    </row>
    <row r="36" spans="1:14" x14ac:dyDescent="0.45">
      <c r="A36" s="1" t="s">
        <v>99</v>
      </c>
      <c r="B36" t="s">
        <v>100</v>
      </c>
      <c r="C36" t="s">
        <v>101</v>
      </c>
    </row>
    <row r="37" spans="1:14" x14ac:dyDescent="0.45">
      <c r="A37" s="1" t="s">
        <v>58</v>
      </c>
      <c r="B37" t="s">
        <v>59</v>
      </c>
      <c r="C37" t="s">
        <v>6</v>
      </c>
    </row>
    <row r="39" spans="1:14" x14ac:dyDescent="0.4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F7ED2-4858-4142-B91D-0CDB746679CE}">
  <dimension ref="A1:M39"/>
  <sheetViews>
    <sheetView workbookViewId="0">
      <selection activeCell="F26" sqref="F26"/>
    </sheetView>
  </sheetViews>
  <sheetFormatPr defaultRowHeight="14.25" x14ac:dyDescent="0.45"/>
  <cols>
    <col min="1" max="1" width="13.73046875" style="1" bestFit="1" customWidth="1"/>
    <col min="2" max="2" width="45.59765625" customWidth="1"/>
    <col min="3" max="3" width="15.73046875" bestFit="1" customWidth="1"/>
    <col min="4" max="4" width="14.59765625" customWidth="1"/>
    <col min="5" max="5" width="12.265625" customWidth="1"/>
    <col min="6" max="6" width="23.1328125" customWidth="1"/>
    <col min="7" max="7" width="12.3984375" bestFit="1" customWidth="1"/>
    <col min="8" max="8" width="13.59765625" customWidth="1"/>
    <col min="9" max="9" width="12" customWidth="1"/>
    <col min="10" max="10" width="15.265625" customWidth="1"/>
    <col min="12" max="12" width="10.59765625" customWidth="1"/>
  </cols>
  <sheetData>
    <row r="1" spans="1:6" x14ac:dyDescent="0.4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45">
      <c r="A2" s="1" t="s">
        <v>28</v>
      </c>
      <c r="B2" t="s">
        <v>29</v>
      </c>
      <c r="E2" t="s">
        <v>112</v>
      </c>
      <c r="F2" t="s">
        <v>52</v>
      </c>
    </row>
    <row r="3" spans="1:6" x14ac:dyDescent="0.45">
      <c r="A3" s="1" t="s">
        <v>30</v>
      </c>
      <c r="B3" t="s">
        <v>31</v>
      </c>
      <c r="E3" t="s">
        <v>113</v>
      </c>
    </row>
    <row r="4" spans="1:6" x14ac:dyDescent="0.45">
      <c r="A4" s="1" t="s">
        <v>32</v>
      </c>
      <c r="B4" t="s">
        <v>33</v>
      </c>
      <c r="E4" t="s">
        <v>114</v>
      </c>
    </row>
    <row r="5" spans="1:6" x14ac:dyDescent="0.45">
      <c r="A5" s="1" t="s">
        <v>34</v>
      </c>
      <c r="B5" t="s">
        <v>35</v>
      </c>
      <c r="C5" t="s">
        <v>36</v>
      </c>
      <c r="E5" t="s">
        <v>110</v>
      </c>
      <c r="F5" t="s">
        <v>44</v>
      </c>
    </row>
    <row r="6" spans="1:6" x14ac:dyDescent="0.45">
      <c r="A6" s="1" t="s">
        <v>37</v>
      </c>
      <c r="B6" t="s">
        <v>38</v>
      </c>
      <c r="C6" t="s">
        <v>39</v>
      </c>
      <c r="E6" t="s">
        <v>111</v>
      </c>
      <c r="F6" t="s">
        <v>45</v>
      </c>
    </row>
    <row r="7" spans="1:6" x14ac:dyDescent="0.45">
      <c r="A7" s="1" t="s">
        <v>40</v>
      </c>
      <c r="B7" t="s">
        <v>41</v>
      </c>
      <c r="C7" t="s">
        <v>42</v>
      </c>
      <c r="E7" t="s">
        <v>115</v>
      </c>
    </row>
    <row r="8" spans="1:6" x14ac:dyDescent="0.45">
      <c r="A8" s="1" t="s">
        <v>88</v>
      </c>
      <c r="B8" t="s">
        <v>89</v>
      </c>
      <c r="C8" t="s">
        <v>70</v>
      </c>
      <c r="E8" t="s">
        <v>116</v>
      </c>
      <c r="F8" t="s">
        <v>96</v>
      </c>
    </row>
    <row r="9" spans="1:6" x14ac:dyDescent="0.45">
      <c r="A9" s="1" t="s">
        <v>77</v>
      </c>
      <c r="B9" t="s">
        <v>75</v>
      </c>
      <c r="C9" t="s">
        <v>70</v>
      </c>
      <c r="E9" t="s">
        <v>117</v>
      </c>
    </row>
    <row r="10" spans="1:6" x14ac:dyDescent="0.45">
      <c r="A10" s="1" t="s">
        <v>60</v>
      </c>
      <c r="B10" t="s">
        <v>76</v>
      </c>
      <c r="C10" t="s">
        <v>61</v>
      </c>
      <c r="F10" t="s">
        <v>97</v>
      </c>
    </row>
    <row r="11" spans="1:6" x14ac:dyDescent="0.45">
      <c r="A11" s="1" t="s">
        <v>68</v>
      </c>
      <c r="B11" t="s">
        <v>69</v>
      </c>
      <c r="C11" t="s">
        <v>70</v>
      </c>
      <c r="E11" t="s">
        <v>117</v>
      </c>
    </row>
    <row r="12" spans="1:6" x14ac:dyDescent="0.45">
      <c r="A12" s="1" t="s">
        <v>71</v>
      </c>
      <c r="B12" t="s">
        <v>72</v>
      </c>
      <c r="C12" t="s">
        <v>70</v>
      </c>
      <c r="E12" t="s">
        <v>117</v>
      </c>
    </row>
    <row r="13" spans="1:6" x14ac:dyDescent="0.45">
      <c r="A13" s="1" t="s">
        <v>73</v>
      </c>
      <c r="B13" t="s">
        <v>74</v>
      </c>
      <c r="C13" t="s">
        <v>70</v>
      </c>
      <c r="E13" t="s">
        <v>117</v>
      </c>
    </row>
    <row r="15" spans="1:6" x14ac:dyDescent="0.4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45">
      <c r="A16" s="1" t="s">
        <v>3</v>
      </c>
      <c r="B16" t="s">
        <v>4</v>
      </c>
      <c r="C16" t="s">
        <v>5</v>
      </c>
      <c r="E16">
        <v>251</v>
      </c>
      <c r="F16" s="2"/>
    </row>
    <row r="17" spans="1:13" x14ac:dyDescent="0.45">
      <c r="A17" s="1" t="s">
        <v>79</v>
      </c>
      <c r="B17" t="s">
        <v>91</v>
      </c>
      <c r="C17" t="s">
        <v>92</v>
      </c>
      <c r="D17">
        <v>82.057366080959994</v>
      </c>
    </row>
    <row r="18" spans="1:13" x14ac:dyDescent="0.45">
      <c r="A18" s="1" t="s">
        <v>80</v>
      </c>
      <c r="B18" t="s">
        <v>83</v>
      </c>
      <c r="C18" t="s">
        <v>84</v>
      </c>
      <c r="D18">
        <v>298</v>
      </c>
      <c r="F18" t="s">
        <v>90</v>
      </c>
    </row>
    <row r="19" spans="1:13" x14ac:dyDescent="0.45">
      <c r="A19" s="1" t="s">
        <v>81</v>
      </c>
      <c r="B19" t="s">
        <v>82</v>
      </c>
      <c r="C19" t="s">
        <v>93</v>
      </c>
      <c r="D19">
        <v>24450</v>
      </c>
      <c r="F19" t="s">
        <v>95</v>
      </c>
    </row>
    <row r="20" spans="1:13" x14ac:dyDescent="0.45">
      <c r="A20" s="1" t="s">
        <v>85</v>
      </c>
      <c r="B20" t="s">
        <v>87</v>
      </c>
      <c r="C20" t="s">
        <v>86</v>
      </c>
      <c r="D20">
        <v>0</v>
      </c>
      <c r="E20">
        <v>25</v>
      </c>
      <c r="F20" t="s">
        <v>123</v>
      </c>
    </row>
    <row r="21" spans="1:13" x14ac:dyDescent="0.45">
      <c r="A21" s="1" t="s">
        <v>19</v>
      </c>
      <c r="B21" t="s">
        <v>20</v>
      </c>
      <c r="C21" t="s">
        <v>6</v>
      </c>
      <c r="D21">
        <v>0</v>
      </c>
    </row>
    <row r="22" spans="1:13" x14ac:dyDescent="0.45">
      <c r="A22" s="1" t="s">
        <v>21</v>
      </c>
      <c r="B22" t="s">
        <v>22</v>
      </c>
      <c r="C22" t="s">
        <v>6</v>
      </c>
      <c r="D22">
        <v>0</v>
      </c>
    </row>
    <row r="23" spans="1:13" x14ac:dyDescent="0.45">
      <c r="A23" s="1" t="s">
        <v>53</v>
      </c>
      <c r="B23" t="s">
        <v>54</v>
      </c>
      <c r="C23" t="s">
        <v>24</v>
      </c>
    </row>
    <row r="24" spans="1:13" x14ac:dyDescent="0.45">
      <c r="A24" s="1" t="s">
        <v>7</v>
      </c>
      <c r="B24" t="s">
        <v>8</v>
      </c>
      <c r="C24" t="s">
        <v>9</v>
      </c>
      <c r="D24">
        <v>0</v>
      </c>
    </row>
    <row r="25" spans="1:13" x14ac:dyDescent="0.45">
      <c r="A25" s="1" t="s">
        <v>10</v>
      </c>
      <c r="B25" t="s">
        <v>11</v>
      </c>
      <c r="D25">
        <v>0</v>
      </c>
    </row>
    <row r="26" spans="1:13" x14ac:dyDescent="0.45">
      <c r="A26" s="1" t="s">
        <v>12</v>
      </c>
      <c r="B26" t="s">
        <v>13</v>
      </c>
      <c r="C26" t="s">
        <v>14</v>
      </c>
      <c r="D26">
        <v>0</v>
      </c>
    </row>
    <row r="27" spans="1:13" x14ac:dyDescent="0.45">
      <c r="A27" s="1" t="s">
        <v>15</v>
      </c>
      <c r="B27" t="s">
        <v>16</v>
      </c>
      <c r="C27" t="s">
        <v>17</v>
      </c>
      <c r="D27">
        <v>0</v>
      </c>
    </row>
    <row r="28" spans="1:13" x14ac:dyDescent="0.45">
      <c r="A28" s="1" t="s">
        <v>102</v>
      </c>
      <c r="B28" t="s">
        <v>62</v>
      </c>
      <c r="C28" t="s">
        <v>24</v>
      </c>
    </row>
    <row r="29" spans="1:13" x14ac:dyDescent="0.45">
      <c r="A29" s="1" t="s">
        <v>63</v>
      </c>
      <c r="B29" t="s">
        <v>23</v>
      </c>
      <c r="C29" t="s">
        <v>24</v>
      </c>
      <c r="F29" s="3" t="s">
        <v>108</v>
      </c>
      <c r="G29" s="3" t="s">
        <v>104</v>
      </c>
      <c r="H29" s="3" t="s">
        <v>105</v>
      </c>
      <c r="I29" s="3" t="s">
        <v>106</v>
      </c>
      <c r="J29" s="3" t="s">
        <v>107</v>
      </c>
      <c r="K29" s="4" t="s">
        <v>120</v>
      </c>
      <c r="L29" s="4"/>
      <c r="M29" s="4"/>
    </row>
    <row r="30" spans="1:13" x14ac:dyDescent="0.45">
      <c r="A30" s="1" t="s">
        <v>64</v>
      </c>
      <c r="B30" t="s">
        <v>65</v>
      </c>
      <c r="C30" t="s">
        <v>24</v>
      </c>
      <c r="F30" s="3" t="s">
        <v>118</v>
      </c>
      <c r="G30" s="3">
        <f>40/1000</f>
        <v>0.04</v>
      </c>
      <c r="H30" s="3">
        <f>21/1000</f>
        <v>2.1000000000000001E-2</v>
      </c>
      <c r="I30" s="3">
        <f>1.19/1000</f>
        <v>1.1899999999999999E-3</v>
      </c>
      <c r="J30" s="3">
        <f>0.01/1000</f>
        <v>1.0000000000000001E-5</v>
      </c>
      <c r="K30" s="4">
        <f>0.442*0.7</f>
        <v>0.30940000000000001</v>
      </c>
      <c r="L30" s="4" t="s">
        <v>119</v>
      </c>
    </row>
    <row r="31" spans="1:13" x14ac:dyDescent="0.45">
      <c r="A31" s="1" t="s">
        <v>66</v>
      </c>
      <c r="B31" t="s">
        <v>67</v>
      </c>
      <c r="F31" s="3" t="s">
        <v>109</v>
      </c>
      <c r="G31" s="3">
        <v>1</v>
      </c>
      <c r="H31" s="3">
        <v>0.4</v>
      </c>
      <c r="I31" s="3">
        <v>0.4</v>
      </c>
      <c r="J31" s="3">
        <v>1</v>
      </c>
      <c r="K31" s="3">
        <v>0.83</v>
      </c>
    </row>
    <row r="32" spans="1:13" x14ac:dyDescent="0.45">
      <c r="A32" s="1" t="s">
        <v>46</v>
      </c>
      <c r="B32" t="s">
        <v>47</v>
      </c>
      <c r="C32" t="s">
        <v>78</v>
      </c>
      <c r="D32">
        <v>0</v>
      </c>
      <c r="E32" s="3">
        <f>SUM(G32:K32)/24</f>
        <v>6.1623000000000004E-2</v>
      </c>
      <c r="F32" s="3" t="s">
        <v>121</v>
      </c>
      <c r="G32" s="3">
        <f>G30*G31*$E$20</f>
        <v>1</v>
      </c>
      <c r="H32" s="3">
        <f t="shared" ref="H32:J32" si="0">H30*H31*$E$20</f>
        <v>0.21000000000000002</v>
      </c>
      <c r="I32" s="3">
        <f t="shared" si="0"/>
        <v>1.1899999999999999E-2</v>
      </c>
      <c r="J32" s="3">
        <f t="shared" si="0"/>
        <v>2.5000000000000001E-4</v>
      </c>
      <c r="K32" s="3">
        <f t="shared" ref="K32" si="1">K30*K31</f>
        <v>0.25680199999999997</v>
      </c>
    </row>
    <row r="33" spans="1:11" x14ac:dyDescent="0.45">
      <c r="A33" s="1" t="s">
        <v>48</v>
      </c>
      <c r="B33" t="s">
        <v>49</v>
      </c>
      <c r="C33" t="s">
        <v>50</v>
      </c>
      <c r="F33" t="s">
        <v>94</v>
      </c>
      <c r="J33" s="5" t="s">
        <v>122</v>
      </c>
      <c r="K33" s="5">
        <f>K32/SUM(G32:K32)</f>
        <v>0.17363781921252344</v>
      </c>
    </row>
    <row r="34" spans="1:11" x14ac:dyDescent="0.45">
      <c r="A34" s="1" t="s">
        <v>55</v>
      </c>
      <c r="B34" t="s">
        <v>56</v>
      </c>
    </row>
    <row r="35" spans="1:11" x14ac:dyDescent="0.45">
      <c r="A35" s="1" t="s">
        <v>98</v>
      </c>
      <c r="B35" t="s">
        <v>57</v>
      </c>
      <c r="C35" t="s">
        <v>101</v>
      </c>
    </row>
    <row r="36" spans="1:11" x14ac:dyDescent="0.45">
      <c r="A36" s="1" t="s">
        <v>99</v>
      </c>
      <c r="B36" t="s">
        <v>100</v>
      </c>
      <c r="C36" t="s">
        <v>101</v>
      </c>
    </row>
    <row r="37" spans="1:11" x14ac:dyDescent="0.45">
      <c r="A37" s="1" t="s">
        <v>58</v>
      </c>
      <c r="B37" t="s">
        <v>59</v>
      </c>
      <c r="C37" t="s">
        <v>6</v>
      </c>
    </row>
    <row r="39" spans="1:11" x14ac:dyDescent="0.4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  <ds:schemaRef ds:uri="2ba80736-48fa-4d73-aaff-bacaeeed013a"/>
  </ds:schemaRefs>
</ds:datastoreItem>
</file>

<file path=customXml/itemProps4.xml><?xml version="1.0" encoding="utf-8"?>
<ds:datastoreItem xmlns:ds="http://schemas.openxmlformats.org/officeDocument/2006/customXml" ds:itemID="{5B5A8214-1FA9-425F-8E4E-EB75BD36BC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2ba80736-48fa-4d73-aaff-bacaeeed013a"/>
    <ds:schemaRef ds:uri="41d9f072-86bf-4c63-b117-debf50ff4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Four_year_old</vt:lpstr>
      <vt:lpstr>Eight_year_old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Schlosser, Paul</cp:lastModifiedBy>
  <dcterms:created xsi:type="dcterms:W3CDTF">2020-10-14T17:32:53Z</dcterms:created>
  <dcterms:modified xsi:type="dcterms:W3CDTF">2026-03-17T20:35:20Z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