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80" documentId="8_{CCC1AF48-AB15-40A9-B09E-0F30F3DE7B44}" xr6:coauthVersionLast="47" xr6:coauthVersionMax="47" xr10:uidLastSave="{B3F179E8-3192-46FF-B25B-4C9D0660D4BE}"/>
  <bookViews>
    <workbookView xWindow="3960" yWindow="810" windowWidth="21825" windowHeight="12915" xr2:uid="{089E7848-11EB-427A-89EA-83825F220BA0}"/>
  </bookViews>
  <sheets>
    <sheet name="Four_year_old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3" i="9" l="1"/>
  <c r="E32" i="9"/>
  <c r="H32" i="9"/>
  <c r="I32" i="9"/>
  <c r="J32" i="9"/>
  <c r="G32" i="9"/>
  <c r="K30" i="9"/>
  <c r="K32" i="9"/>
  <c r="J30" i="9"/>
  <c r="I30" i="9"/>
  <c r="H30" i="9"/>
  <c r="G30" i="9"/>
</calcChain>
</file>

<file path=xl/sharedStrings.xml><?xml version="1.0" encoding="utf-8"?>
<sst xmlns="http://schemas.openxmlformats.org/spreadsheetml/2006/main" count="140" uniqueCount="123">
  <si>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</si>
  <si>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</si>
  <si>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</si>
  <si>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</si>
  <si>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</si>
  <si>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</si>
  <si>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</si>
  <si>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</si>
  <si>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</si>
  <si>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</si>
  <si>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</si>
  <si>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</si>
  <si>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</si>
  <si>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</si>
  <si>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</si>
  <si>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</si>
  <si>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</si>
  <si>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</si>
  <si>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</si>
  <si>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</si>
  <si>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</si>
  <si>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</si>
  <si>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</si>
  <si>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</si>
  <si>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</si>
  <si>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</si>
  <si>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</si>
  <si>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</si>
  <si>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</si>
  <si>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</si>
  <si>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</si>
  <si>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</si>
  <si>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</si>
  <si>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</si>
  <si>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</si>
  <si>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</si>
  <si>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</si>
  <si>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</si>
  <si>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</si>
  <si>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</si>
  <si>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</si>
  <si>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</si>
  <si>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</si>
  <si>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</si>
  <si>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</si>
  <si>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</si>
  <si>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</si>
  <si>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</si>
  <si>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</si>
  <si>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</si>
  <si>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</si>
  <si>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</si>
  <si>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</si>
  <si>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</si>
  <si>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</si>
  <si>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</si>
  <si>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</si>
  <si>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</si>
  <si>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</si>
  <si>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</si>
  <si>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</si>
  <si>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</si>
  <si>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</si>
  <si>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</si>
  <si>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</si>
  <si>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</si>
  <si>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</si>
  <si>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</si>
  <si>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</si>
  <si>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</si>
  <si>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</si>
  <si>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</si>
  <si>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</si>
  <si>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</si>
  <si>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</si>
  <si>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</si>
  <si>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</si>
  <si>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</si>
  <si>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mg/h</t>
  </si>
  <si>
    <t>R</t>
  </si>
  <si>
    <t>Temp</t>
  </si>
  <si>
    <t>RTemp</t>
  </si>
  <si>
    <t>Ideal Gas Constant (R) times Temperature (in Kelvin)*</t>
  </si>
  <si>
    <t>Temperature</t>
  </si>
  <si>
    <t>Kelvin</t>
  </si>
  <si>
    <t>BW</t>
  </si>
  <si>
    <t>kg</t>
  </si>
  <si>
    <t>Body Mass</t>
  </si>
  <si>
    <t>BW_constant</t>
  </si>
  <si>
    <t>Body weight is constant?</t>
  </si>
  <si>
    <t>default is 25 deg C</t>
  </si>
  <si>
    <t>Ideal Gas Constant at 1 atm</t>
  </si>
  <si>
    <t>1000 L*ppm/Kelvin/mol</t>
  </si>
  <si>
    <t>1000 L*ppm/mol</t>
  </si>
  <si>
    <t>Used to compute R_0bgli if not provided directly.</t>
  </si>
  <si>
    <t>This should be R*Temp: This quantity divides the molecular weight to obtain a conversation factor that takes a concentration of chemical from units of ppm to units of mg/L.</t>
  </si>
  <si>
    <t>If not constant, provide table of values and corresponding times as input to PBPK_run()</t>
  </si>
  <si>
    <t>If unequal, provide vector of proportions as input to PBPK_run()</t>
  </si>
  <si>
    <t>t.first.dose_water</t>
  </si>
  <si>
    <t>t.final.dose_water</t>
  </si>
  <si>
    <t>Drinking Water: Periodic Exposure: Time of final dose each day</t>
  </si>
  <si>
    <t>h (24 hour clock)</t>
  </si>
  <si>
    <t>inh.stop.time</t>
  </si>
  <si>
    <t>Four-year-old child</t>
  </si>
  <si>
    <t>toothpaste</t>
  </si>
  <si>
    <t>Diet</t>
  </si>
  <si>
    <t>Soil</t>
  </si>
  <si>
    <t>Air</t>
  </si>
  <si>
    <t>Media</t>
  </si>
  <si>
    <t>Bioavailability</t>
  </si>
  <si>
    <t>mg</t>
  </si>
  <si>
    <t>L</t>
  </si>
  <si>
    <t>Flourine</t>
  </si>
  <si>
    <t>Human</t>
  </si>
  <si>
    <t>NA</t>
  </si>
  <si>
    <t>h</t>
  </si>
  <si>
    <t>Y</t>
  </si>
  <si>
    <t>N</t>
  </si>
  <si>
    <t>Total intake (mg/kg/d)</t>
  </si>
  <si>
    <t>(mg/d)</t>
  </si>
  <si>
    <t>Water (0.442 L/d x 0.7 mg/L )</t>
  </si>
  <si>
    <t>Net intaked (mg/d)</t>
  </si>
  <si>
    <t>Frac from water: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</si>
</sst>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645AD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6AAA3-4823-45FD-8570-D25DAB8AD8C8}">
  <dimension ref="A1:M39"/>
  <sheetViews>
    <sheetView tabSelected="1" topLeftCell="A7" workbookViewId="0">
      <selection activeCell="E17" sqref="E17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12.28515625" customWidth="1"/>
    <col min="6" max="6" width="23.140625" customWidth="1"/>
    <col min="7" max="7" width="12.42578125" bestFit="1" customWidth="1"/>
    <col min="8" max="8" width="13.5703125" customWidth="1"/>
    <col min="9" max="9" width="12" customWidth="1"/>
    <col min="10" max="10" width="15.28515625" customWidth="1"/>
    <col min="12" max="12" width="10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112</v>
      </c>
      <c r="F2" t="s">
        <v>52</v>
      </c>
    </row>
    <row r="3" spans="1:6" x14ac:dyDescent="0.25">
      <c r="A3" s="1" t="s">
        <v>30</v>
      </c>
      <c r="B3" t="s">
        <v>31</v>
      </c>
      <c r="E3" t="s">
        <v>113</v>
      </c>
    </row>
    <row r="4" spans="1:6" x14ac:dyDescent="0.25">
      <c r="A4" s="1" t="s">
        <v>32</v>
      </c>
      <c r="B4" t="s">
        <v>33</v>
      </c>
      <c r="E4" t="s">
        <v>114</v>
      </c>
    </row>
    <row r="5" spans="1:6" x14ac:dyDescent="0.25">
      <c r="A5" s="1" t="s">
        <v>34</v>
      </c>
      <c r="B5" t="s">
        <v>35</v>
      </c>
      <c r="C5" t="s">
        <v>36</v>
      </c>
      <c r="E5" t="s">
        <v>110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111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115</v>
      </c>
    </row>
    <row r="8" spans="1:6" x14ac:dyDescent="0.25">
      <c r="A8" s="1" t="s">
        <v>88</v>
      </c>
      <c r="B8" t="s">
        <v>89</v>
      </c>
      <c r="C8" t="s">
        <v>70</v>
      </c>
      <c r="E8" t="s">
        <v>116</v>
      </c>
      <c r="F8" t="s">
        <v>96</v>
      </c>
    </row>
    <row r="9" spans="1:6" x14ac:dyDescent="0.25">
      <c r="A9" s="1" t="s">
        <v>77</v>
      </c>
      <c r="B9" t="s">
        <v>75</v>
      </c>
      <c r="C9" t="s">
        <v>70</v>
      </c>
      <c r="E9" t="s">
        <v>117</v>
      </c>
    </row>
    <row r="10" spans="1:6" x14ac:dyDescent="0.25">
      <c r="A10" s="1" t="s">
        <v>60</v>
      </c>
      <c r="B10" t="s">
        <v>76</v>
      </c>
      <c r="C10" t="s">
        <v>61</v>
      </c>
      <c r="F10" t="s">
        <v>97</v>
      </c>
    </row>
    <row r="11" spans="1:6" x14ac:dyDescent="0.25">
      <c r="A11" s="1" t="s">
        <v>68</v>
      </c>
      <c r="B11" t="s">
        <v>69</v>
      </c>
      <c r="C11" t="s">
        <v>70</v>
      </c>
      <c r="E11" t="s">
        <v>117</v>
      </c>
    </row>
    <row r="12" spans="1:6" x14ac:dyDescent="0.25">
      <c r="A12" s="1" t="s">
        <v>71</v>
      </c>
      <c r="B12" t="s">
        <v>72</v>
      </c>
      <c r="C12" t="s">
        <v>70</v>
      </c>
      <c r="E12" t="s">
        <v>117</v>
      </c>
    </row>
    <row r="13" spans="1:6" x14ac:dyDescent="0.25">
      <c r="A13" s="1" t="s">
        <v>73</v>
      </c>
      <c r="B13" t="s">
        <v>74</v>
      </c>
      <c r="C13" t="s">
        <v>70</v>
      </c>
      <c r="E13" t="s">
        <v>117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251</v>
      </c>
      <c r="F16" s="2"/>
    </row>
    <row r="17" spans="1:13" x14ac:dyDescent="0.25">
      <c r="A17" s="1" t="s">
        <v>79</v>
      </c>
      <c r="B17" t="s">
        <v>91</v>
      </c>
      <c r="C17" t="s">
        <v>92</v>
      </c>
      <c r="D17">
        <v>82.057366080959994</v>
      </c>
    </row>
    <row r="18" spans="1:13" x14ac:dyDescent="0.25">
      <c r="A18" s="1" t="s">
        <v>80</v>
      </c>
      <c r="B18" t="s">
        <v>83</v>
      </c>
      <c r="C18" t="s">
        <v>84</v>
      </c>
      <c r="D18">
        <v>298</v>
      </c>
      <c r="F18" t="s">
        <v>90</v>
      </c>
    </row>
    <row r="19" spans="1:13" x14ac:dyDescent="0.25">
      <c r="A19" s="1" t="s">
        <v>81</v>
      </c>
      <c r="B19" t="s">
        <v>82</v>
      </c>
      <c r="C19" t="s">
        <v>93</v>
      </c>
      <c r="D19">
        <v>24450</v>
      </c>
      <c r="F19" t="s">
        <v>95</v>
      </c>
    </row>
    <row r="20" spans="1:13" x14ac:dyDescent="0.25">
      <c r="A20" s="1" t="s">
        <v>85</v>
      </c>
      <c r="B20" t="s">
        <v>87</v>
      </c>
      <c r="C20" t="s">
        <v>86</v>
      </c>
      <c r="D20">
        <v>0</v>
      </c>
      <c r="E20">
        <v>16</v>
      </c>
      <c r="F20" t="s">
        <v>103</v>
      </c>
    </row>
    <row r="21" spans="1:13" x14ac:dyDescent="0.25">
      <c r="A21" s="1" t="s">
        <v>19</v>
      </c>
      <c r="B21" t="s">
        <v>20</v>
      </c>
      <c r="C21" t="s">
        <v>6</v>
      </c>
      <c r="D21">
        <v>0</v>
      </c>
    </row>
    <row r="22" spans="1:13" x14ac:dyDescent="0.25">
      <c r="A22" s="1" t="s">
        <v>21</v>
      </c>
      <c r="B22" t="s">
        <v>22</v>
      </c>
      <c r="C22" t="s">
        <v>6</v>
      </c>
      <c r="D22">
        <v>0</v>
      </c>
    </row>
    <row r="23" spans="1:13" x14ac:dyDescent="0.25">
      <c r="A23" s="1" t="s">
        <v>53</v>
      </c>
      <c r="B23" t="s">
        <v>54</v>
      </c>
      <c r="C23" t="s">
        <v>24</v>
      </c>
    </row>
    <row r="24" spans="1:13" x14ac:dyDescent="0.25">
      <c r="A24" s="1" t="s">
        <v>7</v>
      </c>
      <c r="B24" t="s">
        <v>8</v>
      </c>
      <c r="C24" t="s">
        <v>9</v>
      </c>
      <c r="D24">
        <v>0</v>
      </c>
    </row>
    <row r="25" spans="1:13" x14ac:dyDescent="0.25">
      <c r="A25" s="1" t="s">
        <v>10</v>
      </c>
      <c r="B25" t="s">
        <v>11</v>
      </c>
      <c r="D25">
        <v>0</v>
      </c>
    </row>
    <row r="26" spans="1:13" x14ac:dyDescent="0.25">
      <c r="A26" s="1" t="s">
        <v>12</v>
      </c>
      <c r="B26" t="s">
        <v>13</v>
      </c>
      <c r="C26" t="s">
        <v>14</v>
      </c>
      <c r="D26">
        <v>0</v>
      </c>
    </row>
    <row r="27" spans="1:13" x14ac:dyDescent="0.25">
      <c r="A27" s="1" t="s">
        <v>15</v>
      </c>
      <c r="B27" t="s">
        <v>16</v>
      </c>
      <c r="C27" t="s">
        <v>17</v>
      </c>
      <c r="D27">
        <v>0</v>
      </c>
    </row>
    <row r="28" spans="1:13" x14ac:dyDescent="0.25">
      <c r="A28" s="1" t="s">
        <v>102</v>
      </c>
      <c r="B28" t="s">
        <v>62</v>
      </c>
      <c r="C28" t="s">
        <v>24</v>
      </c>
    </row>
    <row r="29" spans="1:13" x14ac:dyDescent="0.25">
      <c r="A29" s="1" t="s">
        <v>63</v>
      </c>
      <c r="B29" t="s">
        <v>23</v>
      </c>
      <c r="C29" t="s">
        <v>24</v>
      </c>
      <c r="F29" s="3" t="s">
        <v>108</v>
      </c>
      <c r="G29" s="3" t="s">
        <v>104</v>
      </c>
      <c r="H29" s="3" t="s">
        <v>105</v>
      </c>
      <c r="I29" s="3" t="s">
        <v>106</v>
      </c>
      <c r="J29" s="3" t="s">
        <v>107</v>
      </c>
      <c r="K29" s="4" t="s">
        <v>120</v>
      </c>
      <c r="L29" s="4"/>
      <c r="M29" s="4"/>
    </row>
    <row r="30" spans="1:13" x14ac:dyDescent="0.25">
      <c r="A30" s="1" t="s">
        <v>64</v>
      </c>
      <c r="B30" t="s">
        <v>65</v>
      </c>
      <c r="C30" t="s">
        <v>24</v>
      </c>
      <c r="F30" s="3" t="s">
        <v>118</v>
      </c>
      <c r="G30" s="3">
        <f>40/1000</f>
        <v>0.04</v>
      </c>
      <c r="H30" s="3">
        <f>21/1000</f>
        <v>2.1000000000000001E-2</v>
      </c>
      <c r="I30" s="3">
        <f>1.19/1000</f>
        <v>1.1899999999999999E-3</v>
      </c>
      <c r="J30" s="3">
        <f>0.01/1000</f>
        <v>1.0000000000000001E-5</v>
      </c>
      <c r="K30" s="4">
        <f>0.442*0.7</f>
        <v>0.30940000000000001</v>
      </c>
      <c r="L30" s="4" t="s">
        <v>119</v>
      </c>
    </row>
    <row r="31" spans="1:13" x14ac:dyDescent="0.25">
      <c r="A31" s="1" t="s">
        <v>66</v>
      </c>
      <c r="B31" t="s">
        <v>67</v>
      </c>
      <c r="F31" s="3" t="s">
        <v>109</v>
      </c>
      <c r="G31" s="3">
        <v>1</v>
      </c>
      <c r="H31" s="3">
        <v>0.4</v>
      </c>
      <c r="I31" s="3">
        <v>0.4</v>
      </c>
      <c r="J31" s="3">
        <v>1</v>
      </c>
      <c r="K31" s="3">
        <v>0.83</v>
      </c>
    </row>
    <row r="32" spans="1:13" x14ac:dyDescent="0.25">
      <c r="A32" s="1" t="s">
        <v>46</v>
      </c>
      <c r="B32" t="s">
        <v>47</v>
      </c>
      <c r="C32" t="s">
        <v>78</v>
      </c>
      <c r="D32">
        <v>0</v>
      </c>
      <c r="E32" s="3">
        <f>SUM(G32:K32)/24</f>
        <v>4.3290749999999996E-2</v>
      </c>
      <c r="F32" s="3" t="s">
        <v>121</v>
      </c>
      <c r="G32" s="3">
        <f>G30*G31*$E$20</f>
        <v>0.64</v>
      </c>
      <c r="H32" s="3">
        <f t="shared" ref="H32:J32" si="0">H30*H31*$E$20</f>
        <v>0.13440000000000002</v>
      </c>
      <c r="I32" s="3">
        <f t="shared" si="0"/>
        <v>7.6159999999999995E-3</v>
      </c>
      <c r="J32" s="3">
        <f t="shared" si="0"/>
        <v>1.6000000000000001E-4</v>
      </c>
      <c r="K32" s="3">
        <f t="shared" ref="K32" si="1">K30*K31</f>
        <v>0.25680199999999997</v>
      </c>
    </row>
    <row r="33" spans="1:11" x14ac:dyDescent="0.25">
      <c r="A33" s="1" t="s">
        <v>48</v>
      </c>
      <c r="B33" t="s">
        <v>49</v>
      </c>
      <c r="C33" t="s">
        <v>50</v>
      </c>
      <c r="F33" t="s">
        <v>94</v>
      </c>
      <c r="J33" s="5" t="s">
        <v>122</v>
      </c>
      <c r="K33" s="5">
        <f>K32/SUM(G32:K32)</f>
        <v>0.247167889984196</v>
      </c>
    </row>
    <row r="34" spans="1:11" x14ac:dyDescent="0.25">
      <c r="A34" s="1" t="s">
        <v>55</v>
      </c>
      <c r="B34" t="s">
        <v>56</v>
      </c>
    </row>
    <row r="35" spans="1:11" x14ac:dyDescent="0.25">
      <c r="A35" s="1" t="s">
        <v>98</v>
      </c>
      <c r="B35" t="s">
        <v>57</v>
      </c>
      <c r="C35" t="s">
        <v>101</v>
      </c>
    </row>
    <row r="36" spans="1:11" x14ac:dyDescent="0.25">
      <c r="A36" s="1" t="s">
        <v>99</v>
      </c>
      <c r="B36" t="s">
        <v>100</v>
      </c>
      <c r="C36" t="s">
        <v>101</v>
      </c>
    </row>
    <row r="37" spans="1:11" x14ac:dyDescent="0.25">
      <c r="A37" s="1" t="s">
        <v>58</v>
      </c>
      <c r="B37" t="s">
        <v>59</v>
      </c>
      <c r="C37" t="s">
        <v>6</v>
      </c>
    </row>
    <row r="39" spans="1:11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5B5A8214-1FA9-425F-8E4E-EB75BD36BC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Four_year_old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2026-02-18T20:38:24Z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