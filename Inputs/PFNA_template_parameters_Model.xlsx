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24" documentId="13_ncr:1_{14D51B71-0158-4B22-B7A5-EFF2D66679BD}" xr6:coauthVersionLast="47" xr6:coauthVersionMax="47" xr10:uidLastSave="{96E32CA1-C622-4674-BE06-C8A8872AAB84}"/>
  <bookViews>
    <workbookView xWindow="-110" yWindow="-110" windowWidth="19420" windowHeight="10420" activeTab="1" xr2:uid="{089E7848-11EB-427A-89EA-83825F220BA0}"/>
  </bookViews>
  <sheets>
    <sheet name="MKimRecreateBW" sheetId="9" r:id="rId1"/>
    <sheet name="FKimRecreateBW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9" l="1"/>
  <c r="E30" i="10"/>
  <c r="E75" i="10"/>
  <c r="E70" i="10"/>
  <c r="E69" i="10"/>
  <c r="E68" i="10"/>
  <c r="E67" i="10"/>
  <c r="E66" i="10"/>
  <c r="E65" i="10"/>
  <c r="E61" i="10"/>
  <c r="E37" i="10"/>
  <c r="E29" i="10"/>
  <c r="E26" i="10"/>
  <c r="E24" i="10"/>
  <c r="E75" i="9"/>
  <c r="E70" i="9"/>
  <c r="E69" i="9"/>
  <c r="E68" i="9"/>
  <c r="E67" i="9"/>
  <c r="E66" i="9"/>
  <c r="E65" i="9"/>
  <c r="E61" i="9"/>
  <c r="E37" i="9"/>
  <c r="E29" i="9"/>
  <c r="E26" i="9"/>
  <c r="E24" i="9"/>
  <c r="E22" i="9"/>
  <c r="E22" i="10"/>
  <c r="E85" i="9"/>
  <c r="E80" i="9"/>
  <c r="E79" i="9"/>
  <c r="E78" i="9"/>
  <c r="E77" i="9"/>
  <c r="E76" i="9"/>
  <c r="E52" i="9"/>
  <c r="E85" i="10"/>
  <c r="E80" i="10"/>
  <c r="E79" i="10"/>
  <c r="E78" i="10"/>
  <c r="E77" i="10"/>
  <c r="E76" i="10"/>
  <c r="E52" i="10"/>
  <c r="E16" i="10" l="1"/>
  <c r="E15" i="10"/>
  <c r="E16" i="9"/>
  <c r="E15" i="9"/>
</calcChain>
</file>

<file path=xl/sharedStrings.xml><?xml version="1.0" encoding="utf-8"?>
<sst xmlns="http://schemas.openxmlformats.org/spreadsheetml/2006/main" count="617" uniqueCount="239">
  <si>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</si>
  <si>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</si>
  <si>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</si>
  <si>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</si>
  <si>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</si>
  <si>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</si>
  <si>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</si>
  <si>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</si>
  <si>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</si>
  <si>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</si>
  <si>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</si>
  <si>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</si>
  <si>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</si>
  <si>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</si>
  <si>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</si>
  <si>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</si>
  <si>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</si>
  <si>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</si>
  <si>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</si>
  <si>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</si>
  <si>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</si>
  <si>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</si>
  <si>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</si>
  <si>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</si>
  <si>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</si>
  <si>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</si>
  <si>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</si>
  <si>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</si>
  <si>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</si>
  <si>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</si>
  <si>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</si>
  <si>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</si>
  <si>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</si>
  <si>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</si>
  <si>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</si>
  <si>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</si>
  <si>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</si>
  <si>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</si>
  <si>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</si>
  <si>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</si>
  <si>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</si>
  <si>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</si>
  <si>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</si>
  <si>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</si>
  <si>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</si>
  <si>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</si>
  <si>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</si>
  <si>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</si>
  <si>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</si>
  <si>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</si>
  <si>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</si>
  <si>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</si>
  <si>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</si>
  <si>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</si>
  <si>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</si>
  <si>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</si>
  <si>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</si>
  <si>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</si>
  <si>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</si>
  <si>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</si>
  <si>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</si>
  <si>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</si>
  <si>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</si>
  <si>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</si>
  <si>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</si>
  <si>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</si>
  <si>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</si>
  <si>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</si>
  <si>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</si>
  <si>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</si>
  <si>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</si>
  <si>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</si>
  <si>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</si>
  <si>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</si>
  <si>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</si>
  <si>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</si>
  <si>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</si>
  <si>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</si>
  <si>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</si>
  <si>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</si>
  <si>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</si>
  <si>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</si>
  <si>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</si>
  <si>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</si>
  <si>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</si>
  <si>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</si>
  <si>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</si>
  <si>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</si>
  <si>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</si>
  <si>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</si>
  <si>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</si>
  <si>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</si>
  <si>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</si>
  <si>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</si>
  <si>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</si>
  <si>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</si>
  <si>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</si>
  <si>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</si>
  <si>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</si>
  <si>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</si>
  <si>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</si>
  <si>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</si>
  <si>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</si>
  <si>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</si>
  <si>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</si>
  <si>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</si>
  <si>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</si>
  <si>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</si>
  <si>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</si>
  <si>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</si>
  <si>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</si>
  <si>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</si>
  <si>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</si>
  <si>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</si>
  <si>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</si>
  <si>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</si>
  <si>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</si>
  <si>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</si>
  <si>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</si>
  <si>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</si>
  <si>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</si>
  <si>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</si>
  <si>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</si>
  <si>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</si>
  <si>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</si>
  <si>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</si>
  <si>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</si>
  <si>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</si>
  <si>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</si>
  <si>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</si>
  <si>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</si>
  <si>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</si>
  <si>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</si>
  <si>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</si>
  <si>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</si>
  <si>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</si>
  <si>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</si>
  <si>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</si>
  <si>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</si>
  <si>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</si>
  <si>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</si>
  <si>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</si>
  <si>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</si>
  <si>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</si>
  <si>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</si>
  <si>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</si>
  <si>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</si>
  <si>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</si>
  <si>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</si>
  <si>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</si>
  <si>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</si>
  <si>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</si>
  <si>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</si>
  <si>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</si>
  <si>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</si>
  <si>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</si>
  <si>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</si>
  <si>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</si>
  <si>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</si>
  <si>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</si>
  <si>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</si>
  <si>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</si>
  <si>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</si>
  <si>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</si>
  <si>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</si>
  <si>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</si>
  <si>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</si>
  <si>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</si>
  <si>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</si>
  <si>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</si>
  <si>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</si>
  <si>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</si>
  <si>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</si>
  <si>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</si>
  <si>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</si>
  <si>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</si>
  <si>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</si>
  <si>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</si>
  <si>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</si>
  <si>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</si>
  <si>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</si>
  <si>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</si>
  <si>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</si>
  <si>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</si>
  <si>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</si>
  <si>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</si>
  <si>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</si>
  <si>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</si>
  <si>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</si>
  <si>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</si>
  <si>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</si>
  <si>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</si>
  <si>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</si>
  <si>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</si>
  <si>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</si>
  <si>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</si>
  <si>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</si>
  <si>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</si>
  <si>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</si>
  <si>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</si>
  <si>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</si>
  <si>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</si>
  <si>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</si>
  <si>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PFNA</t>
  </si>
  <si>
    <t>rat</t>
  </si>
  <si>
    <t>female</t>
  </si>
  <si>
    <t>ng</t>
  </si>
  <si>
    <t>mL</t>
  </si>
  <si>
    <t>h</t>
  </si>
  <si>
    <t>tissue compartment 1 volume fraction - lung</t>
  </si>
  <si>
    <t>tissue compartment 2 volume fraction - heart</t>
  </si>
  <si>
    <t>tissue compartment 1 blood flow rate fraction - lung</t>
  </si>
  <si>
    <t>tissue compartment 2 blood flow rate fraction - heart</t>
  </si>
  <si>
    <t>tissue compartment 1:blood partition coefficient - lung</t>
  </si>
  <si>
    <t>tissue compartment 2:blood partition coefficient - heart</t>
  </si>
  <si>
    <t>1</t>
  </si>
  <si>
    <t>Free*Kf/Kgi</t>
  </si>
  <si>
    <t>Values from paper</t>
  </si>
  <si>
    <t>published model uses a bad value for lung tissue blood flow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</si>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</sst>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zoomScale="80" zoomScaleNormal="80" workbookViewId="0">
      <selection activeCell="A10" sqref="A10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203</v>
      </c>
      <c r="F2" t="s">
        <v>181</v>
      </c>
    </row>
    <row r="3" spans="1:6" x14ac:dyDescent="0.35">
      <c r="A3" s="1" t="s">
        <v>6</v>
      </c>
      <c r="B3" t="s">
        <v>7</v>
      </c>
      <c r="E3" t="s">
        <v>204</v>
      </c>
    </row>
    <row r="4" spans="1:6" x14ac:dyDescent="0.35">
      <c r="A4" s="1" t="s">
        <v>8</v>
      </c>
      <c r="B4" t="s">
        <v>9</v>
      </c>
      <c r="E4" t="s">
        <v>205</v>
      </c>
    </row>
    <row r="5" spans="1:6" x14ac:dyDescent="0.35">
      <c r="A5" s="1" t="s">
        <v>10</v>
      </c>
      <c r="B5" t="s">
        <v>11</v>
      </c>
      <c r="C5" t="s">
        <v>12</v>
      </c>
      <c r="E5" t="s">
        <v>206</v>
      </c>
      <c r="F5" t="s">
        <v>172</v>
      </c>
    </row>
    <row r="6" spans="1:6" x14ac:dyDescent="0.35">
      <c r="A6" s="1" t="s">
        <v>13</v>
      </c>
      <c r="B6" t="s">
        <v>14</v>
      </c>
      <c r="C6" t="s">
        <v>15</v>
      </c>
      <c r="E6" t="s">
        <v>207</v>
      </c>
      <c r="F6" t="s">
        <v>173</v>
      </c>
    </row>
    <row r="7" spans="1:6" x14ac:dyDescent="0.35">
      <c r="A7" s="1" t="s">
        <v>16</v>
      </c>
      <c r="B7" t="s">
        <v>17</v>
      </c>
      <c r="C7" t="s">
        <v>18</v>
      </c>
      <c r="E7" t="s">
        <v>208</v>
      </c>
    </row>
    <row r="8" spans="1:6" x14ac:dyDescent="0.35">
      <c r="A8" s="1" t="s">
        <v>20</v>
      </c>
      <c r="B8" t="s">
        <v>21</v>
      </c>
      <c r="C8" t="s">
        <v>19</v>
      </c>
      <c r="E8" t="s">
        <v>182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>
        <v>1</v>
      </c>
    </row>
    <row r="10" spans="1:6" x14ac:dyDescent="0.35">
      <c r="A10" s="1" t="s">
        <v>136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35">
      <c r="A11" s="1" t="s">
        <v>137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35">
      <c r="A12" s="1" t="s">
        <v>174</v>
      </c>
      <c r="B12" t="s">
        <v>175</v>
      </c>
      <c r="C12" t="s">
        <v>19</v>
      </c>
      <c r="D12" t="s">
        <v>182</v>
      </c>
      <c r="E12" t="s">
        <v>182</v>
      </c>
    </row>
    <row r="13" spans="1:6" x14ac:dyDescent="0.3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35">
      <c r="A14" s="1" t="s">
        <v>166</v>
      </c>
      <c r="B14" t="s">
        <v>161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192</v>
      </c>
      <c r="B15" t="s">
        <v>193</v>
      </c>
      <c r="C15" t="s">
        <v>194</v>
      </c>
      <c r="E15">
        <f>1-SUM(E76:E85)</f>
        <v>-0.99224806201550408</v>
      </c>
      <c r="F15" t="s">
        <v>218</v>
      </c>
    </row>
    <row r="16" spans="1:6" x14ac:dyDescent="0.35">
      <c r="A16" s="1" t="s">
        <v>195</v>
      </c>
      <c r="B16" t="s">
        <v>196</v>
      </c>
      <c r="C16" t="s">
        <v>197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  <c r="F18" s="1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464.08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188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0.6</v>
      </c>
    </row>
    <row r="26" spans="1:7" x14ac:dyDescent="0.35">
      <c r="A26" s="1" t="s">
        <v>142</v>
      </c>
      <c r="B26" t="s">
        <v>45</v>
      </c>
      <c r="C26" t="s">
        <v>189</v>
      </c>
      <c r="D26">
        <v>0</v>
      </c>
      <c r="E26" s="3">
        <f>F26/(G20^E21)</f>
        <v>229187.44991818376</v>
      </c>
      <c r="F26">
        <v>81030</v>
      </c>
    </row>
    <row r="27" spans="1:7" x14ac:dyDescent="0.35">
      <c r="A27" s="1" t="s">
        <v>143</v>
      </c>
      <c r="B27" t="s">
        <v>46</v>
      </c>
      <c r="C27" t="s">
        <v>47</v>
      </c>
      <c r="D27">
        <v>1</v>
      </c>
      <c r="E27" s="3">
        <v>24850</v>
      </c>
      <c r="F27">
        <v>24850</v>
      </c>
    </row>
    <row r="28" spans="1:7" x14ac:dyDescent="0.35">
      <c r="A28" s="1" t="s">
        <v>48</v>
      </c>
      <c r="B28" t="s">
        <v>49</v>
      </c>
      <c r="C28" t="s">
        <v>190</v>
      </c>
      <c r="D28">
        <v>0</v>
      </c>
    </row>
    <row r="29" spans="1:7" x14ac:dyDescent="0.35">
      <c r="A29" s="1" t="s">
        <v>144</v>
      </c>
      <c r="B29" t="s">
        <v>50</v>
      </c>
      <c r="C29" t="s">
        <v>190</v>
      </c>
      <c r="D29">
        <v>0</v>
      </c>
      <c r="E29">
        <f>F29/(G20^E23)</f>
        <v>2.4890158697766473</v>
      </c>
      <c r="F29">
        <v>3.52</v>
      </c>
    </row>
    <row r="30" spans="1:7" x14ac:dyDescent="0.35">
      <c r="A30" s="1" t="s">
        <v>145</v>
      </c>
      <c r="B30" t="s">
        <v>219</v>
      </c>
      <c r="C30" t="s">
        <v>37</v>
      </c>
      <c r="D30">
        <v>0</v>
      </c>
      <c r="E30">
        <f>E58*F30/E87</f>
        <v>0.50278787878787878</v>
      </c>
      <c r="F30">
        <v>1.22</v>
      </c>
      <c r="G30" t="s">
        <v>216</v>
      </c>
    </row>
    <row r="31" spans="1:7" x14ac:dyDescent="0.35">
      <c r="A31" s="1" t="s">
        <v>146</v>
      </c>
      <c r="B31" t="s">
        <v>51</v>
      </c>
      <c r="C31" t="s">
        <v>190</v>
      </c>
      <c r="D31">
        <v>0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6.24</v>
      </c>
      <c r="F32">
        <v>6.24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167</v>
      </c>
      <c r="B36" t="s">
        <v>168</v>
      </c>
      <c r="C36" t="s">
        <v>190</v>
      </c>
      <c r="D36">
        <v>0</v>
      </c>
    </row>
    <row r="37" spans="1:6" x14ac:dyDescent="0.35">
      <c r="A37" s="1" t="s">
        <v>57</v>
      </c>
      <c r="B37" t="s">
        <v>169</v>
      </c>
      <c r="C37" t="s">
        <v>190</v>
      </c>
      <c r="D37">
        <v>0</v>
      </c>
      <c r="E37">
        <f>F37/(G20^E23)</f>
        <v>0.26233661582020917</v>
      </c>
      <c r="F37">
        <v>0.371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147</v>
      </c>
      <c r="B41" t="s">
        <v>62</v>
      </c>
      <c r="C41" t="s">
        <v>189</v>
      </c>
      <c r="D41">
        <v>0</v>
      </c>
    </row>
    <row r="42" spans="1:6" x14ac:dyDescent="0.35">
      <c r="A42" s="1" t="s">
        <v>148</v>
      </c>
      <c r="B42" t="s">
        <v>63</v>
      </c>
      <c r="C42" t="s">
        <v>47</v>
      </c>
      <c r="D42">
        <v>1</v>
      </c>
    </row>
    <row r="43" spans="1:6" x14ac:dyDescent="0.35">
      <c r="A43" s="1" t="s">
        <v>149</v>
      </c>
      <c r="B43" t="s">
        <v>64</v>
      </c>
      <c r="C43" t="s">
        <v>65</v>
      </c>
      <c r="D43">
        <v>0</v>
      </c>
    </row>
    <row r="44" spans="1:6" x14ac:dyDescent="0.35">
      <c r="A44" s="1" t="s">
        <v>150</v>
      </c>
      <c r="B44" t="s">
        <v>66</v>
      </c>
      <c r="C44" t="s">
        <v>189</v>
      </c>
      <c r="D44">
        <v>0</v>
      </c>
    </row>
    <row r="45" spans="1:6" x14ac:dyDescent="0.35">
      <c r="A45" s="1" t="s">
        <v>151</v>
      </c>
      <c r="B45" t="s">
        <v>67</v>
      </c>
      <c r="C45" t="s">
        <v>47</v>
      </c>
      <c r="D45">
        <v>1</v>
      </c>
    </row>
    <row r="46" spans="1:6" x14ac:dyDescent="0.35">
      <c r="A46" s="1" t="s">
        <v>152</v>
      </c>
      <c r="B46" t="s">
        <v>68</v>
      </c>
      <c r="C46" t="s">
        <v>189</v>
      </c>
      <c r="D46">
        <v>0</v>
      </c>
    </row>
    <row r="47" spans="1:6" x14ac:dyDescent="0.35">
      <c r="A47" s="1" t="s">
        <v>153</v>
      </c>
      <c r="B47" t="s">
        <v>69</v>
      </c>
      <c r="C47" t="s">
        <v>47</v>
      </c>
      <c r="D47">
        <v>1</v>
      </c>
    </row>
    <row r="48" spans="1:6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170</v>
      </c>
      <c r="B50" t="s">
        <v>171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184</v>
      </c>
      <c r="B52" t="s">
        <v>183</v>
      </c>
      <c r="C52" t="s">
        <v>185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162</v>
      </c>
      <c r="B53" t="s">
        <v>164</v>
      </c>
      <c r="C53" t="s">
        <v>191</v>
      </c>
      <c r="D53">
        <v>1</v>
      </c>
    </row>
    <row r="54" spans="1:6" x14ac:dyDescent="0.35">
      <c r="A54" s="1" t="s">
        <v>163</v>
      </c>
      <c r="B54" t="s">
        <v>165</v>
      </c>
      <c r="D54">
        <v>0</v>
      </c>
    </row>
    <row r="55" spans="1:6" x14ac:dyDescent="0.35">
      <c r="A55" s="1" t="s">
        <v>198</v>
      </c>
      <c r="B55" t="s">
        <v>199</v>
      </c>
      <c r="C55" t="s">
        <v>37</v>
      </c>
      <c r="D55">
        <v>0</v>
      </c>
    </row>
    <row r="56" spans="1:6" x14ac:dyDescent="0.35">
      <c r="A56" s="1" t="s">
        <v>200</v>
      </c>
      <c r="B56" t="s">
        <v>201</v>
      </c>
      <c r="C56" t="s">
        <v>202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2.7200000000000002E-3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180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186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138</v>
      </c>
      <c r="B62" t="s">
        <v>139</v>
      </c>
      <c r="C62" t="s">
        <v>186</v>
      </c>
      <c r="D62">
        <v>1</v>
      </c>
    </row>
    <row r="63" spans="1:6" x14ac:dyDescent="0.35">
      <c r="A63" s="1" t="s">
        <v>140</v>
      </c>
      <c r="B63" t="s">
        <v>141</v>
      </c>
      <c r="C63" t="s">
        <v>186</v>
      </c>
      <c r="D63">
        <v>1</v>
      </c>
    </row>
    <row r="64" spans="1:6" x14ac:dyDescent="0.35">
      <c r="A64" s="1" t="s">
        <v>84</v>
      </c>
      <c r="B64" t="s">
        <v>83</v>
      </c>
      <c r="C64" t="s">
        <v>186</v>
      </c>
      <c r="D64">
        <v>1</v>
      </c>
    </row>
    <row r="65" spans="1:6" x14ac:dyDescent="0.35">
      <c r="A65" s="1" t="s">
        <v>91</v>
      </c>
      <c r="B65" t="s">
        <v>223</v>
      </c>
      <c r="C65" t="s">
        <v>186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186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186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186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209</v>
      </c>
      <c r="C69" t="s">
        <v>186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210</v>
      </c>
      <c r="C70" t="s">
        <v>186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186</v>
      </c>
      <c r="D71">
        <v>1</v>
      </c>
    </row>
    <row r="72" spans="1:6" x14ac:dyDescent="0.35">
      <c r="A72" s="1" t="s">
        <v>98</v>
      </c>
      <c r="B72" t="s">
        <v>89</v>
      </c>
      <c r="C72" t="s">
        <v>186</v>
      </c>
      <c r="D72">
        <v>1</v>
      </c>
    </row>
    <row r="73" spans="1:6" x14ac:dyDescent="0.35">
      <c r="A73" s="1" t="s">
        <v>99</v>
      </c>
      <c r="B73" t="s">
        <v>90</v>
      </c>
      <c r="C73" t="s">
        <v>186</v>
      </c>
      <c r="D73">
        <v>1</v>
      </c>
    </row>
    <row r="74" spans="1:6" x14ac:dyDescent="0.35">
      <c r="A74" s="1" t="s">
        <v>100</v>
      </c>
      <c r="B74" t="s">
        <v>133</v>
      </c>
      <c r="C74" t="s">
        <v>186</v>
      </c>
      <c r="D74">
        <v>1</v>
      </c>
    </row>
    <row r="75" spans="1:6" x14ac:dyDescent="0.35">
      <c r="A75" s="1" t="s">
        <v>155</v>
      </c>
      <c r="B75" t="s">
        <v>156</v>
      </c>
      <c r="C75" t="s">
        <v>186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106</v>
      </c>
      <c r="B76" t="s">
        <v>224</v>
      </c>
      <c r="C76" t="s">
        <v>185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107</v>
      </c>
      <c r="B77" t="s">
        <v>101</v>
      </c>
      <c r="C77" t="s">
        <v>185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108</v>
      </c>
      <c r="B78" t="s">
        <v>102</v>
      </c>
      <c r="C78" t="s">
        <v>185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109</v>
      </c>
      <c r="B79" t="s">
        <v>211</v>
      </c>
      <c r="C79" t="s">
        <v>185</v>
      </c>
      <c r="D79">
        <v>0</v>
      </c>
      <c r="E79" s="4">
        <f>F79/F24</f>
        <v>1</v>
      </c>
      <c r="F79">
        <v>2580</v>
      </c>
    </row>
    <row r="80" spans="1:6" x14ac:dyDescent="0.35">
      <c r="A80" s="1" t="s">
        <v>110</v>
      </c>
      <c r="B80" t="s">
        <v>212</v>
      </c>
      <c r="C80" t="s">
        <v>185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111</v>
      </c>
      <c r="B81" t="s">
        <v>103</v>
      </c>
      <c r="C81" t="s">
        <v>185</v>
      </c>
      <c r="D81">
        <v>0</v>
      </c>
    </row>
    <row r="82" spans="1:6" x14ac:dyDescent="0.35">
      <c r="A82" s="1" t="s">
        <v>112</v>
      </c>
      <c r="B82" t="s">
        <v>104</v>
      </c>
      <c r="C82" t="s">
        <v>185</v>
      </c>
      <c r="D82">
        <v>0</v>
      </c>
    </row>
    <row r="83" spans="1:6" x14ac:dyDescent="0.35">
      <c r="A83" s="1" t="s">
        <v>113</v>
      </c>
      <c r="B83" t="s">
        <v>105</v>
      </c>
      <c r="C83" t="s">
        <v>185</v>
      </c>
      <c r="D83">
        <v>0</v>
      </c>
    </row>
    <row r="84" spans="1:6" x14ac:dyDescent="0.35">
      <c r="A84" s="1" t="s">
        <v>114</v>
      </c>
      <c r="B84" t="s">
        <v>134</v>
      </c>
      <c r="C84" t="s">
        <v>185</v>
      </c>
      <c r="D84">
        <v>0</v>
      </c>
    </row>
    <row r="85" spans="1:6" x14ac:dyDescent="0.35">
      <c r="A85" s="1" t="s">
        <v>157</v>
      </c>
      <c r="B85" t="s">
        <v>158</v>
      </c>
      <c r="C85" t="s">
        <v>185</v>
      </c>
      <c r="D85">
        <v>0</v>
      </c>
      <c r="E85">
        <f>F85/F24</f>
        <v>0.20465116279069767</v>
      </c>
      <c r="F85">
        <v>528</v>
      </c>
    </row>
    <row r="86" spans="1:6" x14ac:dyDescent="0.35">
      <c r="A86" s="1" t="s">
        <v>123</v>
      </c>
      <c r="B86" t="s">
        <v>115</v>
      </c>
      <c r="D86">
        <v>1</v>
      </c>
    </row>
    <row r="87" spans="1:6" x14ac:dyDescent="0.35">
      <c r="A87" s="1" t="s">
        <v>124</v>
      </c>
      <c r="B87" t="s">
        <v>225</v>
      </c>
      <c r="D87">
        <v>1</v>
      </c>
      <c r="E87">
        <v>6.6E-3</v>
      </c>
    </row>
    <row r="88" spans="1:6" x14ac:dyDescent="0.35">
      <c r="A88" s="1" t="s">
        <v>125</v>
      </c>
      <c r="B88" t="s">
        <v>116</v>
      </c>
      <c r="D88">
        <v>1</v>
      </c>
      <c r="E88">
        <v>1.1860999999999999</v>
      </c>
    </row>
    <row r="89" spans="1:6" x14ac:dyDescent="0.35">
      <c r="A89" s="1" t="s">
        <v>126</v>
      </c>
      <c r="B89" t="s">
        <v>117</v>
      </c>
      <c r="D89">
        <v>1</v>
      </c>
      <c r="E89">
        <v>0.12770000000000001</v>
      </c>
    </row>
    <row r="90" spans="1:6" x14ac:dyDescent="0.35">
      <c r="A90" s="1" t="s">
        <v>127</v>
      </c>
      <c r="B90" t="s">
        <v>213</v>
      </c>
      <c r="D90">
        <v>1</v>
      </c>
      <c r="E90">
        <v>2.92E-2</v>
      </c>
    </row>
    <row r="91" spans="1:6" x14ac:dyDescent="0.35">
      <c r="A91" s="1" t="s">
        <v>128</v>
      </c>
      <c r="B91" t="s">
        <v>214</v>
      </c>
      <c r="D91">
        <v>1</v>
      </c>
      <c r="E91">
        <v>1.8599999999999998E-2</v>
      </c>
    </row>
    <row r="92" spans="1:6" x14ac:dyDescent="0.35">
      <c r="A92" s="1" t="s">
        <v>129</v>
      </c>
      <c r="B92" t="s">
        <v>118</v>
      </c>
      <c r="D92">
        <v>1</v>
      </c>
    </row>
    <row r="93" spans="1:6" x14ac:dyDescent="0.35">
      <c r="A93" s="1" t="s">
        <v>130</v>
      </c>
      <c r="B93" t="s">
        <v>119</v>
      </c>
      <c r="D93">
        <v>1</v>
      </c>
    </row>
    <row r="94" spans="1:6" x14ac:dyDescent="0.35">
      <c r="A94" s="1" t="s">
        <v>131</v>
      </c>
      <c r="B94" t="s">
        <v>120</v>
      </c>
      <c r="D94">
        <v>1</v>
      </c>
    </row>
    <row r="95" spans="1:6" x14ac:dyDescent="0.35">
      <c r="A95" s="1" t="s">
        <v>132</v>
      </c>
      <c r="B95" t="s">
        <v>135</v>
      </c>
      <c r="D95">
        <v>1</v>
      </c>
    </row>
    <row r="96" spans="1:6" x14ac:dyDescent="0.35">
      <c r="A96" s="1" t="s">
        <v>159</v>
      </c>
      <c r="B96" t="s">
        <v>160</v>
      </c>
      <c r="D96">
        <v>1</v>
      </c>
      <c r="E96">
        <v>7.3000000000000001E-3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180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187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F7D2-4BD1-490A-99D2-964D9A503D54}">
  <dimension ref="A1:G104"/>
  <sheetViews>
    <sheetView tabSelected="1" zoomScale="80" zoomScaleNormal="80" workbookViewId="0">
      <selection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203</v>
      </c>
      <c r="F2" t="s">
        <v>181</v>
      </c>
    </row>
    <row r="3" spans="1:6" x14ac:dyDescent="0.35">
      <c r="A3" s="1" t="s">
        <v>6</v>
      </c>
      <c r="B3" t="s">
        <v>7</v>
      </c>
      <c r="E3" t="s">
        <v>204</v>
      </c>
    </row>
    <row r="4" spans="1:6" x14ac:dyDescent="0.35">
      <c r="A4" s="1" t="s">
        <v>8</v>
      </c>
      <c r="B4" t="s">
        <v>9</v>
      </c>
      <c r="E4" t="s">
        <v>205</v>
      </c>
    </row>
    <row r="5" spans="1:6" x14ac:dyDescent="0.35">
      <c r="A5" s="1" t="s">
        <v>10</v>
      </c>
      <c r="B5" t="s">
        <v>11</v>
      </c>
      <c r="C5" t="s">
        <v>12</v>
      </c>
      <c r="E5" t="s">
        <v>206</v>
      </c>
      <c r="F5" t="s">
        <v>172</v>
      </c>
    </row>
    <row r="6" spans="1:6" x14ac:dyDescent="0.35">
      <c r="A6" s="1" t="s">
        <v>13</v>
      </c>
      <c r="B6" t="s">
        <v>14</v>
      </c>
      <c r="C6" t="s">
        <v>15</v>
      </c>
      <c r="E6" t="s">
        <v>207</v>
      </c>
      <c r="F6" t="s">
        <v>173</v>
      </c>
    </row>
    <row r="7" spans="1:6" x14ac:dyDescent="0.35">
      <c r="A7" s="1" t="s">
        <v>16</v>
      </c>
      <c r="B7" t="s">
        <v>17</v>
      </c>
      <c r="C7" t="s">
        <v>18</v>
      </c>
      <c r="E7" t="s">
        <v>208</v>
      </c>
    </row>
    <row r="8" spans="1:6" x14ac:dyDescent="0.35">
      <c r="A8" s="1" t="s">
        <v>20</v>
      </c>
      <c r="B8" t="s">
        <v>21</v>
      </c>
      <c r="C8" t="s">
        <v>19</v>
      </c>
      <c r="E8" t="s">
        <v>182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35">
      <c r="A11" s="1" t="s">
        <v>137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35">
      <c r="A12" s="1" t="s">
        <v>174</v>
      </c>
      <c r="B12" t="s">
        <v>175</v>
      </c>
      <c r="C12" t="s">
        <v>19</v>
      </c>
      <c r="D12" t="s">
        <v>182</v>
      </c>
      <c r="E12" t="s">
        <v>182</v>
      </c>
    </row>
    <row r="13" spans="1:6" x14ac:dyDescent="0.3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35">
      <c r="A14" s="1" t="s">
        <v>166</v>
      </c>
      <c r="B14" t="s">
        <v>161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192</v>
      </c>
      <c r="B15" t="s">
        <v>193</v>
      </c>
      <c r="C15" t="s">
        <v>194</v>
      </c>
      <c r="E15">
        <f>1-SUM(E76:E85)</f>
        <v>-0.99224806201550408</v>
      </c>
      <c r="F15" t="s">
        <v>218</v>
      </c>
    </row>
    <row r="16" spans="1:6" x14ac:dyDescent="0.35">
      <c r="A16" s="1" t="s">
        <v>195</v>
      </c>
      <c r="B16" t="s">
        <v>196</v>
      </c>
      <c r="C16" t="s">
        <v>197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  <c r="F18" s="1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464.08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188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0.47</v>
      </c>
    </row>
    <row r="26" spans="1:7" x14ac:dyDescent="0.35">
      <c r="A26" s="1" t="s">
        <v>142</v>
      </c>
      <c r="B26" t="s">
        <v>45</v>
      </c>
      <c r="C26" t="s">
        <v>189</v>
      </c>
      <c r="D26">
        <v>0</v>
      </c>
      <c r="E26" s="3">
        <f>F26/(G20^E21)</f>
        <v>97665.588617485933</v>
      </c>
      <c r="F26">
        <v>34530</v>
      </c>
    </row>
    <row r="27" spans="1:7" x14ac:dyDescent="0.35">
      <c r="A27" s="1" t="s">
        <v>143</v>
      </c>
      <c r="B27" t="s">
        <v>46</v>
      </c>
      <c r="C27" t="s">
        <v>47</v>
      </c>
      <c r="D27">
        <v>1</v>
      </c>
      <c r="E27" s="3">
        <v>24850</v>
      </c>
      <c r="F27">
        <v>24850</v>
      </c>
    </row>
    <row r="28" spans="1:7" x14ac:dyDescent="0.35">
      <c r="A28" s="1" t="s">
        <v>48</v>
      </c>
      <c r="B28" t="s">
        <v>49</v>
      </c>
      <c r="C28" t="s">
        <v>190</v>
      </c>
      <c r="D28">
        <v>0</v>
      </c>
    </row>
    <row r="29" spans="1:7" x14ac:dyDescent="0.35">
      <c r="A29" s="1" t="s">
        <v>144</v>
      </c>
      <c r="B29" t="s">
        <v>50</v>
      </c>
      <c r="C29" t="s">
        <v>190</v>
      </c>
      <c r="D29">
        <v>0</v>
      </c>
      <c r="E29">
        <f>F29/(G20^E23)</f>
        <v>6.2437528778772151</v>
      </c>
      <c r="F29">
        <v>8.83</v>
      </c>
    </row>
    <row r="30" spans="1:7" x14ac:dyDescent="0.35">
      <c r="A30" s="1" t="s">
        <v>145</v>
      </c>
      <c r="B30" t="s">
        <v>219</v>
      </c>
      <c r="C30" t="s">
        <v>37</v>
      </c>
      <c r="D30">
        <v>0</v>
      </c>
      <c r="E30">
        <f>E58*F30/E87</f>
        <v>0.51704918032786873</v>
      </c>
      <c r="F30">
        <v>0.95</v>
      </c>
      <c r="G30" t="s">
        <v>216</v>
      </c>
    </row>
    <row r="31" spans="1:7" x14ac:dyDescent="0.35">
      <c r="A31" s="1" t="s">
        <v>146</v>
      </c>
      <c r="B31" t="s">
        <v>51</v>
      </c>
      <c r="C31" t="s">
        <v>190</v>
      </c>
      <c r="D31">
        <v>0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1.2</v>
      </c>
      <c r="F32">
        <v>1.2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167</v>
      </c>
      <c r="B36" t="s">
        <v>168</v>
      </c>
      <c r="C36" t="s">
        <v>190</v>
      </c>
      <c r="D36">
        <v>0</v>
      </c>
    </row>
    <row r="37" spans="1:6" x14ac:dyDescent="0.35">
      <c r="A37" s="1" t="s">
        <v>57</v>
      </c>
      <c r="B37" t="s">
        <v>169</v>
      </c>
      <c r="C37" t="s">
        <v>190</v>
      </c>
      <c r="D37">
        <v>0</v>
      </c>
      <c r="E37">
        <f>F37/(G20^E23)</f>
        <v>1.4212846301849604</v>
      </c>
      <c r="F37">
        <v>2.0099999999999998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147</v>
      </c>
      <c r="B41" t="s">
        <v>62</v>
      </c>
      <c r="C41" t="s">
        <v>189</v>
      </c>
      <c r="D41">
        <v>0</v>
      </c>
    </row>
    <row r="42" spans="1:6" x14ac:dyDescent="0.35">
      <c r="A42" s="1" t="s">
        <v>148</v>
      </c>
      <c r="B42" t="s">
        <v>63</v>
      </c>
      <c r="C42" t="s">
        <v>47</v>
      </c>
      <c r="D42">
        <v>1</v>
      </c>
    </row>
    <row r="43" spans="1:6" x14ac:dyDescent="0.35">
      <c r="A43" s="1" t="s">
        <v>149</v>
      </c>
      <c r="B43" t="s">
        <v>64</v>
      </c>
      <c r="C43" t="s">
        <v>65</v>
      </c>
      <c r="D43">
        <v>0</v>
      </c>
    </row>
    <row r="44" spans="1:6" x14ac:dyDescent="0.35">
      <c r="A44" s="1" t="s">
        <v>150</v>
      </c>
      <c r="B44" t="s">
        <v>66</v>
      </c>
      <c r="C44" t="s">
        <v>189</v>
      </c>
      <c r="D44">
        <v>0</v>
      </c>
    </row>
    <row r="45" spans="1:6" x14ac:dyDescent="0.35">
      <c r="A45" s="1" t="s">
        <v>151</v>
      </c>
      <c r="B45" t="s">
        <v>67</v>
      </c>
      <c r="C45" t="s">
        <v>47</v>
      </c>
      <c r="D45">
        <v>1</v>
      </c>
    </row>
    <row r="46" spans="1:6" x14ac:dyDescent="0.35">
      <c r="A46" s="1" t="s">
        <v>152</v>
      </c>
      <c r="B46" t="s">
        <v>68</v>
      </c>
      <c r="C46" t="s">
        <v>189</v>
      </c>
      <c r="D46">
        <v>0</v>
      </c>
    </row>
    <row r="47" spans="1:6" x14ac:dyDescent="0.35">
      <c r="A47" s="1" t="s">
        <v>153</v>
      </c>
      <c r="B47" t="s">
        <v>69</v>
      </c>
      <c r="C47" t="s">
        <v>47</v>
      </c>
      <c r="D47">
        <v>1</v>
      </c>
    </row>
    <row r="48" spans="1:6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170</v>
      </c>
      <c r="B50" t="s">
        <v>171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184</v>
      </c>
      <c r="B52" t="s">
        <v>183</v>
      </c>
      <c r="C52" t="s">
        <v>185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162</v>
      </c>
      <c r="B53" t="s">
        <v>164</v>
      </c>
      <c r="C53" t="s">
        <v>191</v>
      </c>
      <c r="D53">
        <v>1</v>
      </c>
    </row>
    <row r="54" spans="1:6" x14ac:dyDescent="0.35">
      <c r="A54" s="1" t="s">
        <v>163</v>
      </c>
      <c r="B54" t="s">
        <v>165</v>
      </c>
      <c r="D54">
        <v>0</v>
      </c>
    </row>
    <row r="55" spans="1:6" x14ac:dyDescent="0.35">
      <c r="A55" s="1" t="s">
        <v>198</v>
      </c>
      <c r="B55" t="s">
        <v>199</v>
      </c>
      <c r="C55" t="s">
        <v>37</v>
      </c>
      <c r="D55">
        <v>0</v>
      </c>
    </row>
    <row r="56" spans="1:6" x14ac:dyDescent="0.35">
      <c r="A56" s="1" t="s">
        <v>200</v>
      </c>
      <c r="B56" t="s">
        <v>201</v>
      </c>
      <c r="C56" t="s">
        <v>202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3.32E-3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180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186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138</v>
      </c>
      <c r="B62" t="s">
        <v>139</v>
      </c>
      <c r="C62" t="s">
        <v>186</v>
      </c>
      <c r="D62">
        <v>1</v>
      </c>
    </row>
    <row r="63" spans="1:6" x14ac:dyDescent="0.35">
      <c r="A63" s="1" t="s">
        <v>140</v>
      </c>
      <c r="B63" t="s">
        <v>141</v>
      </c>
      <c r="C63" t="s">
        <v>186</v>
      </c>
      <c r="D63">
        <v>1</v>
      </c>
    </row>
    <row r="64" spans="1:6" x14ac:dyDescent="0.35">
      <c r="A64" s="1" t="s">
        <v>84</v>
      </c>
      <c r="B64" t="s">
        <v>83</v>
      </c>
      <c r="C64" t="s">
        <v>186</v>
      </c>
      <c r="D64">
        <v>1</v>
      </c>
    </row>
    <row r="65" spans="1:6" x14ac:dyDescent="0.35">
      <c r="A65" s="1" t="s">
        <v>91</v>
      </c>
      <c r="B65" t="s">
        <v>223</v>
      </c>
      <c r="C65" t="s">
        <v>186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186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186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186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209</v>
      </c>
      <c r="C69" t="s">
        <v>186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210</v>
      </c>
      <c r="C70" t="s">
        <v>186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186</v>
      </c>
      <c r="D71">
        <v>1</v>
      </c>
    </row>
    <row r="72" spans="1:6" x14ac:dyDescent="0.35">
      <c r="A72" s="1" t="s">
        <v>98</v>
      </c>
      <c r="B72" t="s">
        <v>89</v>
      </c>
      <c r="C72" t="s">
        <v>186</v>
      </c>
      <c r="D72">
        <v>1</v>
      </c>
    </row>
    <row r="73" spans="1:6" x14ac:dyDescent="0.35">
      <c r="A73" s="1" t="s">
        <v>99</v>
      </c>
      <c r="B73" t="s">
        <v>90</v>
      </c>
      <c r="C73" t="s">
        <v>186</v>
      </c>
      <c r="D73">
        <v>1</v>
      </c>
    </row>
    <row r="74" spans="1:6" x14ac:dyDescent="0.35">
      <c r="A74" s="1" t="s">
        <v>100</v>
      </c>
      <c r="B74" t="s">
        <v>133</v>
      </c>
      <c r="C74" t="s">
        <v>186</v>
      </c>
      <c r="D74">
        <v>1</v>
      </c>
    </row>
    <row r="75" spans="1:6" x14ac:dyDescent="0.35">
      <c r="A75" s="1" t="s">
        <v>155</v>
      </c>
      <c r="B75" t="s">
        <v>156</v>
      </c>
      <c r="C75" t="s">
        <v>186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106</v>
      </c>
      <c r="B76" t="s">
        <v>224</v>
      </c>
      <c r="C76" t="s">
        <v>185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107</v>
      </c>
      <c r="B77" t="s">
        <v>101</v>
      </c>
      <c r="C77" t="s">
        <v>185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108</v>
      </c>
      <c r="B78" t="s">
        <v>102</v>
      </c>
      <c r="C78" t="s">
        <v>185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109</v>
      </c>
      <c r="B79" t="s">
        <v>211</v>
      </c>
      <c r="C79" t="s">
        <v>185</v>
      </c>
      <c r="D79">
        <v>0</v>
      </c>
      <c r="E79" s="4">
        <f>F79/F24</f>
        <v>1</v>
      </c>
      <c r="F79">
        <v>2580</v>
      </c>
    </row>
    <row r="80" spans="1:6" x14ac:dyDescent="0.35">
      <c r="A80" s="1" t="s">
        <v>110</v>
      </c>
      <c r="B80" t="s">
        <v>212</v>
      </c>
      <c r="C80" t="s">
        <v>185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111</v>
      </c>
      <c r="B81" t="s">
        <v>103</v>
      </c>
      <c r="C81" t="s">
        <v>185</v>
      </c>
      <c r="D81">
        <v>0</v>
      </c>
    </row>
    <row r="82" spans="1:6" x14ac:dyDescent="0.35">
      <c r="A82" s="1" t="s">
        <v>112</v>
      </c>
      <c r="B82" t="s">
        <v>104</v>
      </c>
      <c r="C82" t="s">
        <v>185</v>
      </c>
      <c r="D82">
        <v>0</v>
      </c>
    </row>
    <row r="83" spans="1:6" x14ac:dyDescent="0.35">
      <c r="A83" s="1" t="s">
        <v>113</v>
      </c>
      <c r="B83" t="s">
        <v>105</v>
      </c>
      <c r="C83" t="s">
        <v>185</v>
      </c>
      <c r="D83">
        <v>0</v>
      </c>
    </row>
    <row r="84" spans="1:6" x14ac:dyDescent="0.35">
      <c r="A84" s="1" t="s">
        <v>114</v>
      </c>
      <c r="B84" t="s">
        <v>134</v>
      </c>
      <c r="C84" t="s">
        <v>185</v>
      </c>
      <c r="D84">
        <v>0</v>
      </c>
    </row>
    <row r="85" spans="1:6" x14ac:dyDescent="0.35">
      <c r="A85" s="1" t="s">
        <v>157</v>
      </c>
      <c r="B85" t="s">
        <v>158</v>
      </c>
      <c r="C85" t="s">
        <v>185</v>
      </c>
      <c r="D85">
        <v>0</v>
      </c>
      <c r="E85">
        <f>F85/F24</f>
        <v>0.20465116279069767</v>
      </c>
      <c r="F85">
        <v>528</v>
      </c>
    </row>
    <row r="86" spans="1:6" x14ac:dyDescent="0.35">
      <c r="A86" s="1" t="s">
        <v>123</v>
      </c>
      <c r="B86" t="s">
        <v>115</v>
      </c>
      <c r="D86">
        <v>1</v>
      </c>
    </row>
    <row r="87" spans="1:6" x14ac:dyDescent="0.35">
      <c r="A87" s="1" t="s">
        <v>124</v>
      </c>
      <c r="B87" t="s">
        <v>225</v>
      </c>
      <c r="D87">
        <v>1</v>
      </c>
      <c r="E87">
        <v>6.1000000000000004E-3</v>
      </c>
    </row>
    <row r="88" spans="1:6" x14ac:dyDescent="0.35">
      <c r="A88" s="1" t="s">
        <v>125</v>
      </c>
      <c r="B88" t="s">
        <v>116</v>
      </c>
      <c r="D88">
        <v>1</v>
      </c>
      <c r="E88">
        <v>0.46650000000000003</v>
      </c>
    </row>
    <row r="89" spans="1:6" x14ac:dyDescent="0.35">
      <c r="A89" s="1" t="s">
        <v>126</v>
      </c>
      <c r="B89" t="s">
        <v>117</v>
      </c>
      <c r="D89">
        <v>1</v>
      </c>
      <c r="E89">
        <v>0.24709999999999999</v>
      </c>
    </row>
    <row r="90" spans="1:6" x14ac:dyDescent="0.35">
      <c r="A90" s="1" t="s">
        <v>127</v>
      </c>
      <c r="B90" t="s">
        <v>213</v>
      </c>
      <c r="D90">
        <v>1</v>
      </c>
      <c r="E90">
        <v>5.62E-2</v>
      </c>
    </row>
    <row r="91" spans="1:6" x14ac:dyDescent="0.35">
      <c r="A91" s="1" t="s">
        <v>128</v>
      </c>
      <c r="B91" t="s">
        <v>214</v>
      </c>
      <c r="D91">
        <v>1</v>
      </c>
      <c r="E91">
        <v>3.39E-2</v>
      </c>
    </row>
    <row r="92" spans="1:6" x14ac:dyDescent="0.35">
      <c r="A92" s="1" t="s">
        <v>129</v>
      </c>
      <c r="B92" t="s">
        <v>118</v>
      </c>
      <c r="D92">
        <v>1</v>
      </c>
    </row>
    <row r="93" spans="1:6" x14ac:dyDescent="0.35">
      <c r="A93" s="1" t="s">
        <v>130</v>
      </c>
      <c r="B93" t="s">
        <v>119</v>
      </c>
      <c r="D93">
        <v>1</v>
      </c>
    </row>
    <row r="94" spans="1:6" x14ac:dyDescent="0.35">
      <c r="A94" s="1" t="s">
        <v>131</v>
      </c>
      <c r="B94" t="s">
        <v>120</v>
      </c>
      <c r="D94">
        <v>1</v>
      </c>
    </row>
    <row r="95" spans="1:6" x14ac:dyDescent="0.35">
      <c r="A95" s="1" t="s">
        <v>132</v>
      </c>
      <c r="B95" t="s">
        <v>135</v>
      </c>
      <c r="D95">
        <v>1</v>
      </c>
    </row>
    <row r="96" spans="1:6" x14ac:dyDescent="0.35">
      <c r="A96" s="1" t="s">
        <v>159</v>
      </c>
      <c r="B96" t="s">
        <v>160</v>
      </c>
      <c r="D96">
        <v>1</v>
      </c>
      <c r="E96">
        <v>1.2699999999999999E-2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180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187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5FF55FA5-82CC-42D6-90BE-E93B4AFF9514}"/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MKimRecreateBW</vt:lpstr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