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300" documentId="13_ncr:1_{A8B2F238-D33B-4FEC-9703-7111E6A737BC}" xr6:coauthVersionLast="47" xr6:coauthVersionMax="47" xr10:uidLastSave="{D3A5E4A6-0DBA-4A40-AB57-081F4572445A}"/>
  <bookViews>
    <workbookView xWindow="4905" yWindow="1260" windowWidth="21600" windowHeight="12735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9" i="10" l="1"/>
  <c r="G25" i="10"/>
  <c r="F24" i="10"/>
  <c r="E85" i="10" s="1"/>
  <c r="E16" i="10"/>
  <c r="E85" i="9"/>
  <c r="E78" i="9"/>
  <c r="E79" i="9"/>
  <c r="E80" i="9"/>
  <c r="E81" i="9"/>
  <c r="E77" i="9"/>
  <c r="E76" i="9"/>
  <c r="F24" i="9"/>
  <c r="E24" i="9" s="1"/>
  <c r="G25" i="9"/>
  <c r="E16" i="9"/>
  <c r="E30" i="10"/>
  <c r="E30" i="9"/>
  <c r="E75" i="10"/>
  <c r="E71" i="10"/>
  <c r="E70" i="10"/>
  <c r="E69" i="10"/>
  <c r="E68" i="10"/>
  <c r="E67" i="10"/>
  <c r="E66" i="10"/>
  <c r="E65" i="10"/>
  <c r="E61" i="10"/>
  <c r="E37" i="10"/>
  <c r="E29" i="10"/>
  <c r="E26" i="10"/>
  <c r="E24" i="10"/>
  <c r="E22" i="10"/>
  <c r="E22" i="9"/>
  <c r="E75" i="9"/>
  <c r="E71" i="9"/>
  <c r="E70" i="9"/>
  <c r="E69" i="9"/>
  <c r="E68" i="9"/>
  <c r="E67" i="9"/>
  <c r="E66" i="9"/>
  <c r="E65" i="9"/>
  <c r="E61" i="9"/>
  <c r="E37" i="9"/>
  <c r="E29" i="9"/>
  <c r="E26" i="9"/>
  <c r="E52" i="9"/>
  <c r="E52" i="10" l="1"/>
  <c r="E81" i="10"/>
  <c r="E80" i="10"/>
  <c r="E78" i="10"/>
  <c r="E77" i="10"/>
  <c r="E76" i="10"/>
  <c r="E15" i="10" l="1"/>
  <c r="E15" i="9"/>
</calcChain>
</file>

<file path=xl/sharedStrings.xml><?xml version="1.0" encoding="utf-8"?>
<sst xmlns="http://schemas.openxmlformats.org/spreadsheetml/2006/main" count="621" uniqueCount="242">
  <si>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</si>
  <si>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</si>
  <si>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</si>
  <si>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</si>
  <si>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</si>
  <si>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</si>
  <si>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</si>
  <si>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</si>
  <si>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</si>
  <si>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</si>
  <si>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</si>
  <si>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</si>
  <si>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</si>
  <si>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</si>
  <si>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</si>
  <si>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</si>
  <si>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</si>
  <si>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</si>
  <si>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</si>
  <si>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</si>
  <si>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</si>
  <si>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</si>
  <si>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</si>
  <si>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</si>
  <si>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</si>
  <si>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</si>
  <si>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</si>
  <si>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</si>
  <si>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</si>
  <si>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</si>
  <si>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</si>
  <si>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</si>
  <si>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</si>
  <si>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</si>
  <si>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</si>
  <si>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</si>
  <si>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</si>
  <si>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</si>
  <si>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</si>
  <si>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</si>
  <si>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</si>
  <si>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</si>
  <si>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</si>
  <si>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</si>
  <si>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</si>
  <si>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</si>
  <si>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</si>
  <si>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</si>
  <si>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</si>
  <si>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</si>
  <si>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</si>
  <si>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</si>
  <si>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</si>
  <si>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</si>
  <si>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</si>
  <si>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</si>
  <si>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</si>
  <si>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</si>
  <si>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</si>
  <si>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</si>
  <si>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</si>
  <si>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</si>
  <si>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</si>
  <si>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</si>
  <si>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</si>
  <si>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</si>
  <si>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</si>
  <si>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</si>
  <si>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</si>
  <si>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</si>
  <si>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</si>
  <si>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</si>
  <si>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</si>
  <si>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</si>
  <si>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</si>
  <si>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</si>
  <si>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</si>
  <si>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</si>
  <si>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</si>
  <si>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</si>
  <si>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</si>
  <si>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</si>
  <si>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</si>
  <si>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</si>
  <si>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</si>
  <si>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</si>
  <si>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</si>
  <si>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</si>
  <si>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</si>
  <si>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</si>
  <si>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</si>
  <si>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</si>
  <si>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</si>
  <si>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</si>
  <si>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</si>
  <si>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</si>
  <si>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</si>
  <si>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</si>
  <si>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</si>
  <si>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</si>
  <si>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</si>
  <si>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</si>
  <si>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</si>
  <si>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</si>
  <si>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</si>
  <si>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</si>
  <si>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</si>
  <si>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</si>
  <si>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</si>
  <si>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</si>
  <si>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</si>
  <si>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</si>
  <si>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</si>
  <si>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</si>
  <si>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</si>
  <si>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</si>
  <si>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</si>
  <si>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</si>
  <si>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</si>
  <si>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</si>
  <si>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</si>
  <si>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</si>
  <si>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</si>
  <si>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</si>
  <si>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</si>
  <si>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</si>
  <si>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</si>
  <si>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</si>
  <si>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</si>
  <si>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</si>
  <si>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</si>
  <si>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</si>
  <si>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</si>
  <si>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</si>
  <si>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</si>
  <si>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</si>
  <si>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</si>
  <si>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</si>
  <si>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</si>
  <si>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</si>
  <si>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</si>
  <si>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</si>
  <si>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</si>
  <si>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</si>
  <si>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</si>
  <si>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</si>
  <si>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</si>
  <si>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</si>
  <si>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</si>
  <si>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</si>
  <si>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</si>
  <si>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</si>
  <si>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</si>
  <si>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</si>
  <si>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</si>
  <si>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</si>
  <si>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</si>
  <si>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</si>
  <si>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</si>
  <si>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</si>
  <si>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</si>
  <si>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</si>
  <si>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</si>
  <si>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</si>
  <si>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</si>
  <si>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</si>
  <si>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</si>
  <si>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</si>
  <si>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</si>
  <si>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</si>
  <si>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</si>
  <si>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</si>
  <si>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</si>
  <si>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</si>
  <si>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</si>
  <si>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</si>
  <si>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</si>
  <si>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</si>
  <si>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</si>
  <si>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</si>
  <si>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</si>
  <si>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</si>
  <si>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</si>
  <si>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</si>
  <si>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</si>
  <si>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</si>
  <si>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</si>
  <si>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</si>
  <si>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</si>
  <si>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</si>
  <si>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</si>
  <si>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</si>
  <si>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</si>
  <si>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</si>
  <si>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</si>
  <si>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</si>
  <si>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</si>
  <si>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</si>
  <si>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</si>
  <si>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</si>
  <si>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PFHxS</t>
  </si>
  <si>
    <t>rat</t>
  </si>
  <si>
    <t>male</t>
  </si>
  <si>
    <t>ng</t>
  </si>
  <si>
    <t>mL</t>
  </si>
  <si>
    <t>h</t>
  </si>
  <si>
    <t>1</t>
  </si>
  <si>
    <t>tissue compartment 1 volume fraction - lung</t>
  </si>
  <si>
    <t>tissue compartment 2 volume fraction - heart</t>
  </si>
  <si>
    <t>tissue compartment 3 volume fraction - brain</t>
  </si>
  <si>
    <t>tissue compartment 1 blood flow rate fraction - lung</t>
  </si>
  <si>
    <t>tissue compartment 2 blood flow rate fraction - heart</t>
  </si>
  <si>
    <t>tissue compartment 3 blood flow rate fraction - brain</t>
  </si>
  <si>
    <t>tissue compartment 1:blood partition coefficient - lung</t>
  </si>
  <si>
    <t>tissue compartment 2:blood partition coefficient - heart</t>
  </si>
  <si>
    <t>tissue compartment 3:blood partition coefficient - brain</t>
  </si>
  <si>
    <t>female</t>
  </si>
  <si>
    <t>Values from paper</t>
  </si>
  <si>
    <t>published model uses a bad value for lung tissue blood flow</t>
  </si>
  <si>
    <t>Free*k_fst/P_gi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</si>
  <si>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</si>
  <si>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</si>
  <si>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</si>
  <si>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</si>
  <si>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</si>
  <si>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</si>
  <si>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</si>
  <si>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</si>
  <si>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</si>
  <si>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</si>
  <si>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</si>
  <si>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</si>
  <si>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</si>
  <si>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</si>
  <si>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</si>
  <si>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</si>
  <si>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</si>
  <si>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</si>
  <si>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</si>
  <si>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</si>
  <si>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"muscle + adipose + spleen</t>
  </si>
  <si>
    <t>"2580" listed, sum of blood flows except lung &amp; filtrate: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</si>
</sst>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topLeftCell="A52" zoomScale="90" zoomScaleNormal="90" workbookViewId="0">
      <selection activeCell="E79" sqref="E79"/>
    </sheetView>
  </sheetViews>
  <sheetFormatPr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177</v>
      </c>
      <c r="E1" s="1" t="s">
        <v>3</v>
      </c>
      <c r="F1" s="1" t="s">
        <v>118</v>
      </c>
    </row>
    <row r="2" spans="1:6" x14ac:dyDescent="0.25">
      <c r="A2" s="1" t="s">
        <v>4</v>
      </c>
      <c r="B2" t="s">
        <v>5</v>
      </c>
      <c r="E2" t="s">
        <v>200</v>
      </c>
      <c r="F2" t="s">
        <v>178</v>
      </c>
    </row>
    <row r="3" spans="1:6" x14ac:dyDescent="0.25">
      <c r="A3" s="1" t="s">
        <v>6</v>
      </c>
      <c r="B3" t="s">
        <v>7</v>
      </c>
      <c r="E3" t="s">
        <v>201</v>
      </c>
    </row>
    <row r="4" spans="1:6" x14ac:dyDescent="0.25">
      <c r="A4" s="1" t="s">
        <v>8</v>
      </c>
      <c r="B4" t="s">
        <v>9</v>
      </c>
      <c r="E4" t="s">
        <v>202</v>
      </c>
    </row>
    <row r="5" spans="1:6" x14ac:dyDescent="0.25">
      <c r="A5" s="1" t="s">
        <v>10</v>
      </c>
      <c r="B5" t="s">
        <v>11</v>
      </c>
      <c r="C5" t="s">
        <v>12</v>
      </c>
      <c r="E5" t="s">
        <v>203</v>
      </c>
      <c r="F5" t="s">
        <v>169</v>
      </c>
    </row>
    <row r="6" spans="1:6" x14ac:dyDescent="0.25">
      <c r="A6" s="1" t="s">
        <v>13</v>
      </c>
      <c r="B6" t="s">
        <v>14</v>
      </c>
      <c r="C6" t="s">
        <v>15</v>
      </c>
      <c r="E6" t="s">
        <v>204</v>
      </c>
      <c r="F6" t="s">
        <v>170</v>
      </c>
    </row>
    <row r="7" spans="1:6" x14ac:dyDescent="0.25">
      <c r="A7" s="1" t="s">
        <v>16</v>
      </c>
      <c r="B7" t="s">
        <v>17</v>
      </c>
      <c r="C7" t="s">
        <v>18</v>
      </c>
      <c r="E7" t="s">
        <v>205</v>
      </c>
    </row>
    <row r="8" spans="1:6" x14ac:dyDescent="0.25">
      <c r="A8" s="1" t="s">
        <v>20</v>
      </c>
      <c r="B8" t="s">
        <v>21</v>
      </c>
      <c r="C8" t="s">
        <v>19</v>
      </c>
      <c r="E8" t="s">
        <v>179</v>
      </c>
    </row>
    <row r="9" spans="1:6" x14ac:dyDescent="0.25">
      <c r="A9" s="1" t="s">
        <v>239</v>
      </c>
      <c r="B9" t="s">
        <v>23</v>
      </c>
      <c r="C9" t="s">
        <v>24</v>
      </c>
      <c r="D9" s="2">
        <v>2</v>
      </c>
      <c r="E9" s="2" t="s">
        <v>206</v>
      </c>
    </row>
    <row r="10" spans="1:6" x14ac:dyDescent="0.25">
      <c r="A10" s="1" t="s">
        <v>133</v>
      </c>
      <c r="B10" t="s">
        <v>173</v>
      </c>
      <c r="C10" t="s">
        <v>19</v>
      </c>
      <c r="D10" t="s">
        <v>179</v>
      </c>
      <c r="E10" t="s">
        <v>179</v>
      </c>
    </row>
    <row r="11" spans="1:6" x14ac:dyDescent="0.25">
      <c r="A11" s="1" t="s">
        <v>134</v>
      </c>
      <c r="B11" t="s">
        <v>174</v>
      </c>
      <c r="C11" t="s">
        <v>19</v>
      </c>
      <c r="D11" t="s">
        <v>179</v>
      </c>
      <c r="E11" t="s">
        <v>179</v>
      </c>
    </row>
    <row r="12" spans="1:6" x14ac:dyDescent="0.25">
      <c r="A12" s="1" t="s">
        <v>171</v>
      </c>
      <c r="B12" t="s">
        <v>172</v>
      </c>
      <c r="C12" t="s">
        <v>19</v>
      </c>
      <c r="D12" t="s">
        <v>179</v>
      </c>
      <c r="E12" t="s">
        <v>179</v>
      </c>
    </row>
    <row r="13" spans="1:6" x14ac:dyDescent="0.25">
      <c r="A13" s="1" t="s">
        <v>175</v>
      </c>
      <c r="B13" t="s">
        <v>176</v>
      </c>
      <c r="C13" t="s">
        <v>19</v>
      </c>
      <c r="D13" t="s">
        <v>179</v>
      </c>
      <c r="E13" t="s">
        <v>22</v>
      </c>
    </row>
    <row r="14" spans="1:6" x14ac:dyDescent="0.25">
      <c r="A14" s="1" t="s">
        <v>163</v>
      </c>
      <c r="B14" t="s">
        <v>158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189</v>
      </c>
      <c r="B15" t="s">
        <v>190</v>
      </c>
      <c r="C15" t="s">
        <v>191</v>
      </c>
      <c r="E15">
        <f>1-SUM(E76:E85)</f>
        <v>0</v>
      </c>
    </row>
    <row r="16" spans="1:6" x14ac:dyDescent="0.25">
      <c r="A16" s="1" t="s">
        <v>192</v>
      </c>
      <c r="B16" t="s">
        <v>193</v>
      </c>
      <c r="C16" t="s">
        <v>194</v>
      </c>
      <c r="E16">
        <f>SUM(E61:E75)</f>
        <v>0.70472000000000001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177</v>
      </c>
      <c r="E18" s="1" t="s">
        <v>3</v>
      </c>
      <c r="F18" s="1" t="s">
        <v>217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400.12</v>
      </c>
      <c r="G19" t="s">
        <v>230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231</v>
      </c>
      <c r="B22" t="s">
        <v>232</v>
      </c>
      <c r="D22">
        <v>-0.25</v>
      </c>
      <c r="E22">
        <f>E21-1</f>
        <v>-0.25</v>
      </c>
      <c r="F22" t="s">
        <v>233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185</v>
      </c>
      <c r="D24">
        <v>0</v>
      </c>
      <c r="E24">
        <f>F24/(G20^E20)</f>
        <v>14538.115421195416</v>
      </c>
      <c r="F24">
        <f>2580+2560</f>
        <v>5140</v>
      </c>
      <c r="G24" t="s">
        <v>241</v>
      </c>
    </row>
    <row r="25" spans="1:7" x14ac:dyDescent="0.25">
      <c r="A25" s="1" t="s">
        <v>43</v>
      </c>
      <c r="B25" t="s">
        <v>44</v>
      </c>
      <c r="D25">
        <v>0</v>
      </c>
      <c r="E25">
        <v>0.61</v>
      </c>
      <c r="G25">
        <f>234+18+24+450+520+450+828+36</f>
        <v>2560</v>
      </c>
    </row>
    <row r="26" spans="1:7" x14ac:dyDescent="0.25">
      <c r="A26" s="1" t="s">
        <v>139</v>
      </c>
      <c r="B26" t="s">
        <v>45</v>
      </c>
      <c r="C26" t="s">
        <v>186</v>
      </c>
      <c r="D26">
        <v>0</v>
      </c>
      <c r="E26" s="3">
        <f>F26/(G20^E21)</f>
        <v>241264.83374085001</v>
      </c>
      <c r="F26">
        <v>85300</v>
      </c>
    </row>
    <row r="27" spans="1:7" x14ac:dyDescent="0.25">
      <c r="A27" s="1" t="s">
        <v>140</v>
      </c>
      <c r="B27" t="s">
        <v>46</v>
      </c>
      <c r="C27" t="s">
        <v>47</v>
      </c>
      <c r="D27">
        <v>1</v>
      </c>
      <c r="E27" s="3">
        <v>15851</v>
      </c>
      <c r="F27">
        <v>15851</v>
      </c>
    </row>
    <row r="28" spans="1:7" x14ac:dyDescent="0.25">
      <c r="A28" s="1" t="s">
        <v>48</v>
      </c>
      <c r="B28" t="s">
        <v>49</v>
      </c>
      <c r="C28" t="s">
        <v>187</v>
      </c>
      <c r="D28">
        <v>0</v>
      </c>
    </row>
    <row r="29" spans="1:7" x14ac:dyDescent="0.25">
      <c r="A29" s="1" t="s">
        <v>141</v>
      </c>
      <c r="B29" t="s">
        <v>50</v>
      </c>
      <c r="C29" t="s">
        <v>187</v>
      </c>
      <c r="D29">
        <v>0</v>
      </c>
      <c r="E29">
        <f>F29/(G20^E23)</f>
        <v>0.17677669529663689</v>
      </c>
      <c r="F29">
        <v>0.25</v>
      </c>
    </row>
    <row r="30" spans="1:7" x14ac:dyDescent="0.25">
      <c r="A30" s="1" t="s">
        <v>142</v>
      </c>
      <c r="B30" t="s">
        <v>220</v>
      </c>
      <c r="C30" t="s">
        <v>37</v>
      </c>
      <c r="D30">
        <v>0</v>
      </c>
      <c r="E30">
        <f>E58*F30/E87</f>
        <v>5.2275862068965518E-4</v>
      </c>
      <c r="F30">
        <v>0.02</v>
      </c>
      <c r="G30" t="s">
        <v>219</v>
      </c>
    </row>
    <row r="31" spans="1:7" x14ac:dyDescent="0.25">
      <c r="A31" s="1" t="s">
        <v>143</v>
      </c>
      <c r="B31" t="s">
        <v>51</v>
      </c>
      <c r="C31" t="s">
        <v>187</v>
      </c>
      <c r="D31">
        <v>0</v>
      </c>
    </row>
    <row r="32" spans="1:7" x14ac:dyDescent="0.25">
      <c r="A32" s="1" t="s">
        <v>52</v>
      </c>
      <c r="B32" t="s">
        <v>221</v>
      </c>
      <c r="C32" t="s">
        <v>37</v>
      </c>
      <c r="D32">
        <v>0</v>
      </c>
      <c r="E32">
        <v>3.73</v>
      </c>
      <c r="F32">
        <v>3.73</v>
      </c>
    </row>
    <row r="33" spans="1:6" x14ac:dyDescent="0.25">
      <c r="A33" s="1" t="s">
        <v>53</v>
      </c>
      <c r="B33" t="s">
        <v>222</v>
      </c>
      <c r="C33" t="s">
        <v>37</v>
      </c>
      <c r="D33">
        <v>0</v>
      </c>
    </row>
    <row r="34" spans="1:6" x14ac:dyDescent="0.25">
      <c r="A34" s="1" t="s">
        <v>54</v>
      </c>
      <c r="B34" t="s">
        <v>223</v>
      </c>
      <c r="C34" t="s">
        <v>37</v>
      </c>
      <c r="D34">
        <v>0</v>
      </c>
    </row>
    <row r="35" spans="1:6" x14ac:dyDescent="0.25">
      <c r="A35" s="1" t="s">
        <v>55</v>
      </c>
      <c r="B35" t="s">
        <v>56</v>
      </c>
      <c r="C35" t="s">
        <v>37</v>
      </c>
      <c r="D35">
        <v>0</v>
      </c>
    </row>
    <row r="36" spans="1:6" x14ac:dyDescent="0.25">
      <c r="A36" s="1" t="s">
        <v>164</v>
      </c>
      <c r="B36" t="s">
        <v>165</v>
      </c>
      <c r="C36" t="s">
        <v>187</v>
      </c>
      <c r="D36">
        <v>0</v>
      </c>
    </row>
    <row r="37" spans="1:6" x14ac:dyDescent="0.25">
      <c r="A37" s="1" t="s">
        <v>57</v>
      </c>
      <c r="B37" t="s">
        <v>166</v>
      </c>
      <c r="C37" t="s">
        <v>187</v>
      </c>
      <c r="D37">
        <v>0</v>
      </c>
      <c r="E37">
        <f>F37/(G20^E23)</f>
        <v>7.4246212024587495</v>
      </c>
      <c r="F37">
        <v>10.5</v>
      </c>
    </row>
    <row r="38" spans="1:6" x14ac:dyDescent="0.25">
      <c r="A38" s="1" t="s">
        <v>227</v>
      </c>
      <c r="B38" t="s">
        <v>58</v>
      </c>
      <c r="C38" t="s">
        <v>47</v>
      </c>
      <c r="D38">
        <v>1</v>
      </c>
    </row>
    <row r="39" spans="1:6" x14ac:dyDescent="0.25">
      <c r="A39" s="1" t="s">
        <v>228</v>
      </c>
      <c r="B39" t="s">
        <v>59</v>
      </c>
      <c r="C39" t="s">
        <v>60</v>
      </c>
      <c r="D39">
        <v>0</v>
      </c>
    </row>
    <row r="40" spans="1:6" x14ac:dyDescent="0.25">
      <c r="A40" s="1" t="s">
        <v>229</v>
      </c>
      <c r="B40" t="s">
        <v>61</v>
      </c>
      <c r="C40" t="s">
        <v>37</v>
      </c>
      <c r="D40">
        <v>0</v>
      </c>
    </row>
    <row r="41" spans="1:6" x14ac:dyDescent="0.25">
      <c r="A41" s="1" t="s">
        <v>144</v>
      </c>
      <c r="B41" t="s">
        <v>62</v>
      </c>
      <c r="C41" t="s">
        <v>186</v>
      </c>
      <c r="D41">
        <v>0</v>
      </c>
    </row>
    <row r="42" spans="1:6" x14ac:dyDescent="0.25">
      <c r="A42" s="1" t="s">
        <v>145</v>
      </c>
      <c r="B42" t="s">
        <v>63</v>
      </c>
      <c r="C42" t="s">
        <v>47</v>
      </c>
      <c r="D42">
        <v>1</v>
      </c>
    </row>
    <row r="43" spans="1:6" x14ac:dyDescent="0.25">
      <c r="A43" s="1" t="s">
        <v>146</v>
      </c>
      <c r="B43" t="s">
        <v>64</v>
      </c>
      <c r="C43" t="s">
        <v>65</v>
      </c>
      <c r="D43">
        <v>0</v>
      </c>
    </row>
    <row r="44" spans="1:6" x14ac:dyDescent="0.25">
      <c r="A44" s="1" t="s">
        <v>147</v>
      </c>
      <c r="B44" t="s">
        <v>66</v>
      </c>
      <c r="C44" t="s">
        <v>186</v>
      </c>
      <c r="D44">
        <v>0</v>
      </c>
    </row>
    <row r="45" spans="1:6" x14ac:dyDescent="0.25">
      <c r="A45" s="1" t="s">
        <v>148</v>
      </c>
      <c r="B45" t="s">
        <v>67</v>
      </c>
      <c r="C45" t="s">
        <v>47</v>
      </c>
      <c r="D45">
        <v>1</v>
      </c>
    </row>
    <row r="46" spans="1:6" x14ac:dyDescent="0.25">
      <c r="A46" s="1" t="s">
        <v>149</v>
      </c>
      <c r="B46" t="s">
        <v>68</v>
      </c>
      <c r="C46" t="s">
        <v>186</v>
      </c>
      <c r="D46">
        <v>0</v>
      </c>
    </row>
    <row r="47" spans="1:6" x14ac:dyDescent="0.25">
      <c r="A47" s="1" t="s">
        <v>150</v>
      </c>
      <c r="B47" t="s">
        <v>69</v>
      </c>
      <c r="C47" t="s">
        <v>47</v>
      </c>
      <c r="D47">
        <v>1</v>
      </c>
    </row>
    <row r="48" spans="1:6" x14ac:dyDescent="0.25">
      <c r="A48" s="1" t="s">
        <v>151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167</v>
      </c>
      <c r="B50" t="s">
        <v>168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181</v>
      </c>
      <c r="B52" t="s">
        <v>180</v>
      </c>
      <c r="C52" t="s">
        <v>182</v>
      </c>
      <c r="D52">
        <v>0</v>
      </c>
      <c r="E52">
        <f>F52/F24</f>
        <v>5.0583657587548639E-2</v>
      </c>
      <c r="F52">
        <v>260</v>
      </c>
    </row>
    <row r="53" spans="1:6" x14ac:dyDescent="0.25">
      <c r="A53" s="1" t="s">
        <v>159</v>
      </c>
      <c r="B53" t="s">
        <v>161</v>
      </c>
      <c r="C53" t="s">
        <v>188</v>
      </c>
      <c r="D53">
        <v>1</v>
      </c>
    </row>
    <row r="54" spans="1:6" x14ac:dyDescent="0.25">
      <c r="A54" s="1" t="s">
        <v>160</v>
      </c>
      <c r="B54" t="s">
        <v>162</v>
      </c>
      <c r="D54">
        <v>0</v>
      </c>
    </row>
    <row r="55" spans="1:6" x14ac:dyDescent="0.25">
      <c r="A55" s="1" t="s">
        <v>195</v>
      </c>
      <c r="B55" t="s">
        <v>196</v>
      </c>
      <c r="C55" t="s">
        <v>37</v>
      </c>
      <c r="D55">
        <v>0</v>
      </c>
    </row>
    <row r="56" spans="1:6" x14ac:dyDescent="0.25">
      <c r="A56" s="1" t="s">
        <v>197</v>
      </c>
      <c r="B56" t="s">
        <v>198</v>
      </c>
      <c r="C56" t="s">
        <v>199</v>
      </c>
      <c r="D56">
        <v>0</v>
      </c>
    </row>
    <row r="57" spans="1:6" x14ac:dyDescent="0.25">
      <c r="A57" s="1" t="s">
        <v>234</v>
      </c>
      <c r="B57" t="s">
        <v>235</v>
      </c>
      <c r="C57" t="s">
        <v>236</v>
      </c>
      <c r="D57">
        <v>0</v>
      </c>
      <c r="F57" t="s">
        <v>237</v>
      </c>
    </row>
    <row r="58" spans="1:6" x14ac:dyDescent="0.25">
      <c r="A58" s="1" t="s">
        <v>42</v>
      </c>
      <c r="B58" t="s">
        <v>238</v>
      </c>
      <c r="D58">
        <v>1</v>
      </c>
      <c r="E58">
        <v>7.5799999999999999E-4</v>
      </c>
    </row>
    <row r="60" spans="1:6" x14ac:dyDescent="0.25">
      <c r="A60" s="1" t="s">
        <v>0</v>
      </c>
      <c r="B60" s="1" t="s">
        <v>119</v>
      </c>
      <c r="C60" s="1" t="s">
        <v>26</v>
      </c>
      <c r="D60" s="1" t="s">
        <v>177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183</v>
      </c>
      <c r="D61">
        <v>1</v>
      </c>
      <c r="E61">
        <f>F61/(G20*1000)</f>
        <v>8.1599999999999992E-2</v>
      </c>
      <c r="F61">
        <v>20.399999999999999</v>
      </c>
    </row>
    <row r="62" spans="1:6" x14ac:dyDescent="0.25">
      <c r="A62" s="1" t="s">
        <v>135</v>
      </c>
      <c r="B62" t="s">
        <v>136</v>
      </c>
      <c r="C62" t="s">
        <v>183</v>
      </c>
      <c r="D62">
        <v>1</v>
      </c>
    </row>
    <row r="63" spans="1:6" x14ac:dyDescent="0.25">
      <c r="A63" s="1" t="s">
        <v>137</v>
      </c>
      <c r="B63" t="s">
        <v>138</v>
      </c>
      <c r="C63" t="s">
        <v>183</v>
      </c>
      <c r="D63">
        <v>1</v>
      </c>
    </row>
    <row r="64" spans="1:6" x14ac:dyDescent="0.25">
      <c r="A64" s="1" t="s">
        <v>84</v>
      </c>
      <c r="B64" t="s">
        <v>83</v>
      </c>
      <c r="C64" t="s">
        <v>183</v>
      </c>
      <c r="D64">
        <v>1</v>
      </c>
    </row>
    <row r="65" spans="1:7" x14ac:dyDescent="0.25">
      <c r="A65" s="1" t="s">
        <v>90</v>
      </c>
      <c r="B65" t="s">
        <v>224</v>
      </c>
      <c r="C65" t="s">
        <v>183</v>
      </c>
      <c r="D65">
        <v>1</v>
      </c>
      <c r="E65">
        <f>F65/(G20*1000)</f>
        <v>0.04</v>
      </c>
      <c r="F65">
        <v>10</v>
      </c>
    </row>
    <row r="66" spans="1:7" x14ac:dyDescent="0.25">
      <c r="A66" s="1" t="s">
        <v>91</v>
      </c>
      <c r="B66" t="s">
        <v>85</v>
      </c>
      <c r="C66" t="s">
        <v>183</v>
      </c>
      <c r="D66">
        <v>1</v>
      </c>
      <c r="E66">
        <f>F66/(G20*1000)</f>
        <v>3.2000000000000001E-2</v>
      </c>
      <c r="F66">
        <v>8</v>
      </c>
    </row>
    <row r="67" spans="1:7" x14ac:dyDescent="0.25">
      <c r="A67" s="1" t="s">
        <v>92</v>
      </c>
      <c r="B67" t="s">
        <v>86</v>
      </c>
      <c r="C67" t="s">
        <v>183</v>
      </c>
      <c r="D67">
        <v>1</v>
      </c>
      <c r="E67">
        <f>F67/(G20*1000)</f>
        <v>7.1999999999999998E-3</v>
      </c>
      <c r="F67">
        <v>1.8</v>
      </c>
    </row>
    <row r="68" spans="1:7" x14ac:dyDescent="0.25">
      <c r="A68" s="1" t="s">
        <v>93</v>
      </c>
      <c r="B68" t="s">
        <v>87</v>
      </c>
      <c r="C68" t="s">
        <v>183</v>
      </c>
      <c r="D68">
        <v>1</v>
      </c>
      <c r="E68">
        <f>F68/(G20*1000)</f>
        <v>7.1999999999999994E-4</v>
      </c>
      <c r="F68">
        <v>0.18</v>
      </c>
    </row>
    <row r="69" spans="1:7" x14ac:dyDescent="0.25">
      <c r="A69" s="1" t="s">
        <v>94</v>
      </c>
      <c r="B69" t="s">
        <v>207</v>
      </c>
      <c r="C69" t="s">
        <v>183</v>
      </c>
      <c r="D69">
        <v>1</v>
      </c>
      <c r="E69">
        <f>F69/(G20*1000)</f>
        <v>4.0000000000000001E-3</v>
      </c>
      <c r="F69">
        <v>1</v>
      </c>
    </row>
    <row r="70" spans="1:7" x14ac:dyDescent="0.25">
      <c r="A70" s="1" t="s">
        <v>95</v>
      </c>
      <c r="B70" t="s">
        <v>208</v>
      </c>
      <c r="C70" t="s">
        <v>183</v>
      </c>
      <c r="D70">
        <v>1</v>
      </c>
      <c r="E70">
        <f>F70/(G20*1000)</f>
        <v>3.2000000000000002E-3</v>
      </c>
      <c r="F70">
        <v>0.8</v>
      </c>
    </row>
    <row r="71" spans="1:7" x14ac:dyDescent="0.25">
      <c r="A71" s="1" t="s">
        <v>96</v>
      </c>
      <c r="B71" t="s">
        <v>209</v>
      </c>
      <c r="C71" t="s">
        <v>183</v>
      </c>
      <c r="D71">
        <v>1</v>
      </c>
      <c r="E71">
        <f>F71/(G20*1000)</f>
        <v>2.8E-3</v>
      </c>
      <c r="F71">
        <v>0.7</v>
      </c>
    </row>
    <row r="72" spans="1:7" x14ac:dyDescent="0.25">
      <c r="A72" s="1" t="s">
        <v>97</v>
      </c>
      <c r="B72" t="s">
        <v>88</v>
      </c>
      <c r="C72" t="s">
        <v>183</v>
      </c>
      <c r="D72">
        <v>1</v>
      </c>
    </row>
    <row r="73" spans="1:7" x14ac:dyDescent="0.25">
      <c r="A73" s="1" t="s">
        <v>98</v>
      </c>
      <c r="B73" t="s">
        <v>89</v>
      </c>
      <c r="C73" t="s">
        <v>183</v>
      </c>
      <c r="D73">
        <v>1</v>
      </c>
    </row>
    <row r="74" spans="1:7" x14ac:dyDescent="0.25">
      <c r="A74" s="1" t="s">
        <v>99</v>
      </c>
      <c r="B74" t="s">
        <v>130</v>
      </c>
      <c r="C74" t="s">
        <v>183</v>
      </c>
      <c r="D74">
        <v>1</v>
      </c>
    </row>
    <row r="75" spans="1:7" x14ac:dyDescent="0.25">
      <c r="A75" s="1" t="s">
        <v>152</v>
      </c>
      <c r="B75" t="s">
        <v>153</v>
      </c>
      <c r="C75" t="s">
        <v>183</v>
      </c>
      <c r="D75">
        <v>1</v>
      </c>
      <c r="E75">
        <f>F75/(G20*1000)</f>
        <v>0.53320000000000001</v>
      </c>
      <c r="F75">
        <v>133.30000000000001</v>
      </c>
      <c r="G75" t="s">
        <v>240</v>
      </c>
    </row>
    <row r="76" spans="1:7" x14ac:dyDescent="0.25">
      <c r="A76" s="1" t="s">
        <v>104</v>
      </c>
      <c r="B76" t="s">
        <v>225</v>
      </c>
      <c r="C76" t="s">
        <v>182</v>
      </c>
      <c r="D76">
        <v>0</v>
      </c>
      <c r="E76">
        <f>F76/F$24</f>
        <v>8.7548638132295714E-2</v>
      </c>
      <c r="F76">
        <v>450</v>
      </c>
    </row>
    <row r="77" spans="1:7" x14ac:dyDescent="0.25">
      <c r="A77" s="1" t="s">
        <v>105</v>
      </c>
      <c r="B77" t="s">
        <v>100</v>
      </c>
      <c r="C77" t="s">
        <v>182</v>
      </c>
      <c r="D77">
        <v>0</v>
      </c>
      <c r="E77">
        <f>F77/F$24</f>
        <v>0.16108949416342414</v>
      </c>
      <c r="F77">
        <v>828</v>
      </c>
    </row>
    <row r="78" spans="1:7" x14ac:dyDescent="0.25">
      <c r="A78" s="1" t="s">
        <v>106</v>
      </c>
      <c r="B78" t="s">
        <v>101</v>
      </c>
      <c r="C78" t="s">
        <v>182</v>
      </c>
      <c r="D78">
        <v>0</v>
      </c>
      <c r="E78">
        <f t="shared" ref="E78:E81" si="0">F78/F$24</f>
        <v>0.10116731517509728</v>
      </c>
      <c r="F78">
        <v>520</v>
      </c>
    </row>
    <row r="79" spans="1:7" x14ac:dyDescent="0.25">
      <c r="A79" s="1" t="s">
        <v>107</v>
      </c>
      <c r="B79" t="s">
        <v>210</v>
      </c>
      <c r="C79" t="s">
        <v>182</v>
      </c>
      <c r="D79">
        <v>0</v>
      </c>
      <c r="E79" s="4">
        <f t="shared" si="0"/>
        <v>0.50194552529182879</v>
      </c>
      <c r="F79">
        <v>2580</v>
      </c>
    </row>
    <row r="80" spans="1:7" x14ac:dyDescent="0.25">
      <c r="A80" s="1" t="s">
        <v>108</v>
      </c>
      <c r="B80" t="s">
        <v>211</v>
      </c>
      <c r="C80" t="s">
        <v>182</v>
      </c>
      <c r="D80">
        <v>0</v>
      </c>
      <c r="E80">
        <f t="shared" si="0"/>
        <v>4.5525291828793772E-2</v>
      </c>
      <c r="F80">
        <v>234</v>
      </c>
    </row>
    <row r="81" spans="1:7" x14ac:dyDescent="0.25">
      <c r="A81" s="1" t="s">
        <v>109</v>
      </c>
      <c r="B81" t="s">
        <v>212</v>
      </c>
      <c r="C81" t="s">
        <v>182</v>
      </c>
      <c r="D81">
        <v>0</v>
      </c>
      <c r="E81">
        <f t="shared" si="0"/>
        <v>3.5019455252918289E-3</v>
      </c>
      <c r="F81">
        <v>18</v>
      </c>
    </row>
    <row r="82" spans="1:7" x14ac:dyDescent="0.25">
      <c r="A82" s="1" t="s">
        <v>110</v>
      </c>
      <c r="B82" t="s">
        <v>102</v>
      </c>
      <c r="C82" t="s">
        <v>182</v>
      </c>
      <c r="D82">
        <v>0</v>
      </c>
    </row>
    <row r="83" spans="1:7" x14ac:dyDescent="0.25">
      <c r="A83" s="1" t="s">
        <v>111</v>
      </c>
      <c r="B83" t="s">
        <v>103</v>
      </c>
      <c r="C83" t="s">
        <v>182</v>
      </c>
      <c r="D83">
        <v>0</v>
      </c>
    </row>
    <row r="84" spans="1:7" x14ac:dyDescent="0.25">
      <c r="A84" s="1" t="s">
        <v>112</v>
      </c>
      <c r="B84" t="s">
        <v>131</v>
      </c>
      <c r="C84" t="s">
        <v>182</v>
      </c>
      <c r="D84">
        <v>0</v>
      </c>
    </row>
    <row r="85" spans="1:7" x14ac:dyDescent="0.25">
      <c r="A85" s="1" t="s">
        <v>154</v>
      </c>
      <c r="B85" t="s">
        <v>155</v>
      </c>
      <c r="C85" t="s">
        <v>182</v>
      </c>
      <c r="D85">
        <v>0</v>
      </c>
      <c r="E85">
        <f t="shared" ref="E85" si="1">F85/F$24</f>
        <v>9.9221789883268477E-2</v>
      </c>
      <c r="F85">
        <v>510</v>
      </c>
      <c r="G85" t="s">
        <v>240</v>
      </c>
    </row>
    <row r="86" spans="1:7" x14ac:dyDescent="0.25">
      <c r="A86" s="1" t="s">
        <v>120</v>
      </c>
      <c r="B86" t="s">
        <v>113</v>
      </c>
      <c r="D86">
        <v>1</v>
      </c>
    </row>
    <row r="87" spans="1:7" x14ac:dyDescent="0.25">
      <c r="A87" s="1" t="s">
        <v>121</v>
      </c>
      <c r="B87" t="s">
        <v>226</v>
      </c>
      <c r="D87">
        <v>1</v>
      </c>
      <c r="E87">
        <v>2.9000000000000001E-2</v>
      </c>
    </row>
    <row r="88" spans="1:7" x14ac:dyDescent="0.25">
      <c r="A88" s="1" t="s">
        <v>122</v>
      </c>
      <c r="B88" t="s">
        <v>114</v>
      </c>
      <c r="D88">
        <v>1</v>
      </c>
      <c r="E88">
        <v>0.127</v>
      </c>
    </row>
    <row r="89" spans="1:7" x14ac:dyDescent="0.25">
      <c r="A89" s="1" t="s">
        <v>123</v>
      </c>
      <c r="B89" t="s">
        <v>115</v>
      </c>
      <c r="D89">
        <v>1</v>
      </c>
      <c r="E89">
        <v>6.5000000000000002E-2</v>
      </c>
    </row>
    <row r="90" spans="1:7" x14ac:dyDescent="0.25">
      <c r="A90" s="1" t="s">
        <v>124</v>
      </c>
      <c r="B90" t="s">
        <v>213</v>
      </c>
      <c r="D90">
        <v>1</v>
      </c>
      <c r="E90">
        <v>6.8000000000000005E-2</v>
      </c>
    </row>
    <row r="91" spans="1:7" x14ac:dyDescent="0.25">
      <c r="A91" s="1" t="s">
        <v>125</v>
      </c>
      <c r="B91" t="s">
        <v>214</v>
      </c>
      <c r="D91">
        <v>1</v>
      </c>
      <c r="E91">
        <v>3.3000000000000002E-2</v>
      </c>
    </row>
    <row r="92" spans="1:7" x14ac:dyDescent="0.25">
      <c r="A92" s="1" t="s">
        <v>126</v>
      </c>
      <c r="B92" t="s">
        <v>215</v>
      </c>
      <c r="D92">
        <v>1</v>
      </c>
      <c r="E92">
        <v>5.0000000000000001E-3</v>
      </c>
    </row>
    <row r="93" spans="1:7" x14ac:dyDescent="0.25">
      <c r="A93" s="1" t="s">
        <v>127</v>
      </c>
      <c r="B93" t="s">
        <v>116</v>
      </c>
      <c r="D93">
        <v>1</v>
      </c>
    </row>
    <row r="94" spans="1:7" x14ac:dyDescent="0.25">
      <c r="A94" s="1" t="s">
        <v>128</v>
      </c>
      <c r="B94" t="s">
        <v>117</v>
      </c>
      <c r="D94">
        <v>1</v>
      </c>
    </row>
    <row r="95" spans="1:7" x14ac:dyDescent="0.25">
      <c r="A95" s="1" t="s">
        <v>129</v>
      </c>
      <c r="B95" t="s">
        <v>132</v>
      </c>
      <c r="D95">
        <v>1</v>
      </c>
    </row>
    <row r="96" spans="1:7" x14ac:dyDescent="0.25">
      <c r="A96" s="1" t="s">
        <v>156</v>
      </c>
      <c r="B96" t="s">
        <v>157</v>
      </c>
      <c r="D96">
        <v>1</v>
      </c>
      <c r="E96">
        <v>2.7E-2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177</v>
      </c>
      <c r="E98" s="1" t="s">
        <v>3</v>
      </c>
    </row>
    <row r="99" spans="1:5" x14ac:dyDescent="0.25">
      <c r="A99" s="1" t="s">
        <v>35</v>
      </c>
      <c r="B99" t="s">
        <v>36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184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67DD-7C8D-4584-95B9-C1945997EB84}">
  <dimension ref="A1:G104"/>
  <sheetViews>
    <sheetView topLeftCell="A58" zoomScale="80" zoomScaleNormal="80" workbookViewId="0">
      <selection activeCell="E9" sqref="E9:E13"/>
    </sheetView>
  </sheetViews>
  <sheetFormatPr defaultColWidth="8.7109375"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" customWidth="1"/>
    <col min="5" max="5" width="22.28515625" bestFit="1" customWidth="1"/>
    <col min="6" max="6" width="19.28515625" bestFit="1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177</v>
      </c>
      <c r="E1" s="1" t="s">
        <v>3</v>
      </c>
      <c r="F1" s="1" t="s">
        <v>118</v>
      </c>
    </row>
    <row r="2" spans="1:6" x14ac:dyDescent="0.25">
      <c r="A2" s="1" t="s">
        <v>4</v>
      </c>
      <c r="B2" t="s">
        <v>5</v>
      </c>
      <c r="E2" t="s">
        <v>200</v>
      </c>
      <c r="F2" t="s">
        <v>178</v>
      </c>
    </row>
    <row r="3" spans="1:6" x14ac:dyDescent="0.25">
      <c r="A3" s="1" t="s">
        <v>6</v>
      </c>
      <c r="B3" t="s">
        <v>7</v>
      </c>
      <c r="E3" t="s">
        <v>201</v>
      </c>
    </row>
    <row r="4" spans="1:6" x14ac:dyDescent="0.25">
      <c r="A4" s="1" t="s">
        <v>8</v>
      </c>
      <c r="B4" t="s">
        <v>9</v>
      </c>
      <c r="E4" t="s">
        <v>216</v>
      </c>
    </row>
    <row r="5" spans="1:6" x14ac:dyDescent="0.25">
      <c r="A5" s="1" t="s">
        <v>10</v>
      </c>
      <c r="B5" t="s">
        <v>11</v>
      </c>
      <c r="C5" t="s">
        <v>12</v>
      </c>
      <c r="E5" t="s">
        <v>203</v>
      </c>
      <c r="F5" t="s">
        <v>169</v>
      </c>
    </row>
    <row r="6" spans="1:6" x14ac:dyDescent="0.25">
      <c r="A6" s="1" t="s">
        <v>13</v>
      </c>
      <c r="B6" t="s">
        <v>14</v>
      </c>
      <c r="C6" t="s">
        <v>15</v>
      </c>
      <c r="E6" t="s">
        <v>204</v>
      </c>
      <c r="F6" t="s">
        <v>170</v>
      </c>
    </row>
    <row r="7" spans="1:6" x14ac:dyDescent="0.25">
      <c r="A7" s="1" t="s">
        <v>16</v>
      </c>
      <c r="B7" t="s">
        <v>17</v>
      </c>
      <c r="C7" t="s">
        <v>18</v>
      </c>
      <c r="E7" t="s">
        <v>205</v>
      </c>
    </row>
    <row r="8" spans="1:6" x14ac:dyDescent="0.25">
      <c r="A8" s="1" t="s">
        <v>20</v>
      </c>
      <c r="B8" t="s">
        <v>21</v>
      </c>
      <c r="C8" t="s">
        <v>19</v>
      </c>
      <c r="E8" t="s">
        <v>179</v>
      </c>
    </row>
    <row r="9" spans="1:6" x14ac:dyDescent="0.25">
      <c r="A9" s="1" t="s">
        <v>239</v>
      </c>
      <c r="B9" t="s">
        <v>23</v>
      </c>
      <c r="C9" t="s">
        <v>24</v>
      </c>
      <c r="D9" s="2">
        <v>2</v>
      </c>
      <c r="E9" s="2" t="s">
        <v>206</v>
      </c>
    </row>
    <row r="10" spans="1:6" x14ac:dyDescent="0.25">
      <c r="A10" s="1" t="s">
        <v>133</v>
      </c>
      <c r="B10" t="s">
        <v>173</v>
      </c>
      <c r="C10" t="s">
        <v>19</v>
      </c>
      <c r="D10" t="s">
        <v>179</v>
      </c>
      <c r="E10" t="s">
        <v>179</v>
      </c>
    </row>
    <row r="11" spans="1:6" x14ac:dyDescent="0.25">
      <c r="A11" s="1" t="s">
        <v>134</v>
      </c>
      <c r="B11" t="s">
        <v>174</v>
      </c>
      <c r="C11" t="s">
        <v>19</v>
      </c>
      <c r="D11" t="s">
        <v>179</v>
      </c>
      <c r="E11" t="s">
        <v>179</v>
      </c>
    </row>
    <row r="12" spans="1:6" x14ac:dyDescent="0.25">
      <c r="A12" s="1" t="s">
        <v>171</v>
      </c>
      <c r="B12" t="s">
        <v>172</v>
      </c>
      <c r="C12" t="s">
        <v>19</v>
      </c>
      <c r="D12" t="s">
        <v>179</v>
      </c>
      <c r="E12" t="s">
        <v>179</v>
      </c>
    </row>
    <row r="13" spans="1:6" x14ac:dyDescent="0.25">
      <c r="A13" s="1" t="s">
        <v>175</v>
      </c>
      <c r="B13" t="s">
        <v>176</v>
      </c>
      <c r="C13" t="s">
        <v>19</v>
      </c>
      <c r="D13" t="s">
        <v>179</v>
      </c>
      <c r="E13" t="s">
        <v>22</v>
      </c>
    </row>
    <row r="14" spans="1:6" x14ac:dyDescent="0.25">
      <c r="A14" s="1" t="s">
        <v>163</v>
      </c>
      <c r="B14" t="s">
        <v>158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189</v>
      </c>
      <c r="B15" t="s">
        <v>190</v>
      </c>
      <c r="C15" t="s">
        <v>191</v>
      </c>
      <c r="E15">
        <f>1-SUM(E76:E85)</f>
        <v>0</v>
      </c>
      <c r="F15" t="s">
        <v>218</v>
      </c>
    </row>
    <row r="16" spans="1:6" x14ac:dyDescent="0.25">
      <c r="A16" s="1" t="s">
        <v>192</v>
      </c>
      <c r="B16" t="s">
        <v>193</v>
      </c>
      <c r="C16" t="s">
        <v>194</v>
      </c>
      <c r="E16">
        <f>SUM(E61:E75)</f>
        <v>0.70472000000000001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177</v>
      </c>
      <c r="E18" s="1" t="s">
        <v>3</v>
      </c>
      <c r="F18" s="1" t="s">
        <v>217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400.12</v>
      </c>
      <c r="G19" t="s">
        <v>230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231</v>
      </c>
      <c r="B22" t="s">
        <v>232</v>
      </c>
      <c r="D22">
        <v>-0.25</v>
      </c>
      <c r="E22">
        <f>E21-1</f>
        <v>-0.25</v>
      </c>
      <c r="F22" t="s">
        <v>233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185</v>
      </c>
      <c r="D24">
        <v>0</v>
      </c>
      <c r="E24">
        <f>F24/(G20^E20)</f>
        <v>14538.115421195416</v>
      </c>
      <c r="F24">
        <f>2580+2560</f>
        <v>5140</v>
      </c>
      <c r="G24" t="s">
        <v>241</v>
      </c>
    </row>
    <row r="25" spans="1:7" x14ac:dyDescent="0.25">
      <c r="A25" s="1" t="s">
        <v>43</v>
      </c>
      <c r="B25" t="s">
        <v>44</v>
      </c>
      <c r="D25">
        <v>0</v>
      </c>
      <c r="E25">
        <v>2E-3</v>
      </c>
      <c r="G25">
        <f>234+18+24+450+520+450+828+36</f>
        <v>2560</v>
      </c>
    </row>
    <row r="26" spans="1:7" x14ac:dyDescent="0.25">
      <c r="A26" s="1" t="s">
        <v>139</v>
      </c>
      <c r="B26" t="s">
        <v>45</v>
      </c>
      <c r="C26" t="s">
        <v>186</v>
      </c>
      <c r="D26">
        <v>0</v>
      </c>
      <c r="E26" s="3">
        <f>F26/(G20^E21)</f>
        <v>2573.8686835190329</v>
      </c>
      <c r="F26">
        <v>910</v>
      </c>
    </row>
    <row r="27" spans="1:7" x14ac:dyDescent="0.25">
      <c r="A27" s="1" t="s">
        <v>140</v>
      </c>
      <c r="B27" t="s">
        <v>46</v>
      </c>
      <c r="C27" t="s">
        <v>47</v>
      </c>
      <c r="D27">
        <v>1</v>
      </c>
      <c r="E27" s="3">
        <v>15851</v>
      </c>
      <c r="F27">
        <v>15851</v>
      </c>
    </row>
    <row r="28" spans="1:7" x14ac:dyDescent="0.25">
      <c r="A28" s="1" t="s">
        <v>48</v>
      </c>
      <c r="B28" t="s">
        <v>49</v>
      </c>
      <c r="C28" t="s">
        <v>187</v>
      </c>
      <c r="D28">
        <v>0</v>
      </c>
    </row>
    <row r="29" spans="1:7" x14ac:dyDescent="0.25">
      <c r="A29" s="1" t="s">
        <v>141</v>
      </c>
      <c r="B29" t="s">
        <v>50</v>
      </c>
      <c r="C29" t="s">
        <v>187</v>
      </c>
      <c r="D29">
        <v>0</v>
      </c>
      <c r="E29">
        <f>F29/(G20^E23)</f>
        <v>0.41790010768124958</v>
      </c>
      <c r="F29">
        <v>0.59099999999999997</v>
      </c>
    </row>
    <row r="30" spans="1:7" x14ac:dyDescent="0.25">
      <c r="A30" s="1" t="s">
        <v>142</v>
      </c>
      <c r="B30" t="s">
        <v>220</v>
      </c>
      <c r="C30" t="s">
        <v>37</v>
      </c>
      <c r="D30">
        <v>0</v>
      </c>
      <c r="E30">
        <f>E58*F30/E87</f>
        <v>2.2402807017543855</v>
      </c>
      <c r="F30">
        <v>36.799999999999997</v>
      </c>
      <c r="G30" t="s">
        <v>219</v>
      </c>
    </row>
    <row r="31" spans="1:7" x14ac:dyDescent="0.25">
      <c r="A31" s="1" t="s">
        <v>143</v>
      </c>
      <c r="B31" t="s">
        <v>51</v>
      </c>
      <c r="C31" t="s">
        <v>187</v>
      </c>
      <c r="D31">
        <v>0</v>
      </c>
    </row>
    <row r="32" spans="1:7" x14ac:dyDescent="0.25">
      <c r="A32" s="1" t="s">
        <v>52</v>
      </c>
      <c r="B32" t="s">
        <v>221</v>
      </c>
      <c r="C32" t="s">
        <v>37</v>
      </c>
      <c r="D32">
        <v>0</v>
      </c>
      <c r="E32">
        <v>3.73</v>
      </c>
    </row>
    <row r="33" spans="1:6" x14ac:dyDescent="0.25">
      <c r="A33" s="1" t="s">
        <v>53</v>
      </c>
      <c r="B33" t="s">
        <v>222</v>
      </c>
      <c r="C33" t="s">
        <v>37</v>
      </c>
      <c r="D33">
        <v>0</v>
      </c>
    </row>
    <row r="34" spans="1:6" x14ac:dyDescent="0.25">
      <c r="A34" s="1" t="s">
        <v>54</v>
      </c>
      <c r="B34" t="s">
        <v>223</v>
      </c>
      <c r="C34" t="s">
        <v>37</v>
      </c>
      <c r="D34">
        <v>0</v>
      </c>
    </row>
    <row r="35" spans="1:6" x14ac:dyDescent="0.25">
      <c r="A35" s="1" t="s">
        <v>55</v>
      </c>
      <c r="B35" t="s">
        <v>56</v>
      </c>
      <c r="C35" t="s">
        <v>37</v>
      </c>
      <c r="D35">
        <v>0</v>
      </c>
    </row>
    <row r="36" spans="1:6" x14ac:dyDescent="0.25">
      <c r="A36" s="1" t="s">
        <v>164</v>
      </c>
      <c r="B36" t="s">
        <v>165</v>
      </c>
      <c r="C36" t="s">
        <v>187</v>
      </c>
      <c r="D36">
        <v>0</v>
      </c>
    </row>
    <row r="37" spans="1:6" x14ac:dyDescent="0.25">
      <c r="A37" s="1" t="s">
        <v>57</v>
      </c>
      <c r="B37" t="s">
        <v>166</v>
      </c>
      <c r="C37" t="s">
        <v>187</v>
      </c>
      <c r="D37">
        <v>0</v>
      </c>
      <c r="E37">
        <f>F37/(G20^E23)</f>
        <v>81.812254583283561</v>
      </c>
      <c r="F37">
        <v>115.7</v>
      </c>
    </row>
    <row r="38" spans="1:6" x14ac:dyDescent="0.25">
      <c r="A38" s="1" t="s">
        <v>227</v>
      </c>
      <c r="B38" t="s">
        <v>58</v>
      </c>
      <c r="C38" t="s">
        <v>47</v>
      </c>
      <c r="D38">
        <v>1</v>
      </c>
    </row>
    <row r="39" spans="1:6" x14ac:dyDescent="0.25">
      <c r="A39" s="1" t="s">
        <v>228</v>
      </c>
      <c r="B39" t="s">
        <v>59</v>
      </c>
      <c r="C39" t="s">
        <v>60</v>
      </c>
      <c r="D39">
        <v>0</v>
      </c>
    </row>
    <row r="40" spans="1:6" x14ac:dyDescent="0.25">
      <c r="A40" s="1" t="s">
        <v>229</v>
      </c>
      <c r="B40" t="s">
        <v>61</v>
      </c>
      <c r="C40" t="s">
        <v>37</v>
      </c>
      <c r="D40">
        <v>0</v>
      </c>
    </row>
    <row r="41" spans="1:6" x14ac:dyDescent="0.25">
      <c r="A41" s="1" t="s">
        <v>144</v>
      </c>
      <c r="B41" t="s">
        <v>62</v>
      </c>
      <c r="C41" t="s">
        <v>186</v>
      </c>
      <c r="D41">
        <v>0</v>
      </c>
    </row>
    <row r="42" spans="1:6" x14ac:dyDescent="0.25">
      <c r="A42" s="1" t="s">
        <v>145</v>
      </c>
      <c r="B42" t="s">
        <v>63</v>
      </c>
      <c r="C42" t="s">
        <v>47</v>
      </c>
      <c r="D42">
        <v>1</v>
      </c>
    </row>
    <row r="43" spans="1:6" x14ac:dyDescent="0.25">
      <c r="A43" s="1" t="s">
        <v>146</v>
      </c>
      <c r="B43" t="s">
        <v>64</v>
      </c>
      <c r="C43" t="s">
        <v>65</v>
      </c>
      <c r="D43">
        <v>0</v>
      </c>
    </row>
    <row r="44" spans="1:6" x14ac:dyDescent="0.25">
      <c r="A44" s="1" t="s">
        <v>147</v>
      </c>
      <c r="B44" t="s">
        <v>66</v>
      </c>
      <c r="C44" t="s">
        <v>186</v>
      </c>
      <c r="D44">
        <v>0</v>
      </c>
    </row>
    <row r="45" spans="1:6" x14ac:dyDescent="0.25">
      <c r="A45" s="1" t="s">
        <v>148</v>
      </c>
      <c r="B45" t="s">
        <v>67</v>
      </c>
      <c r="C45" t="s">
        <v>47</v>
      </c>
      <c r="D45">
        <v>1</v>
      </c>
    </row>
    <row r="46" spans="1:6" x14ac:dyDescent="0.25">
      <c r="A46" s="1" t="s">
        <v>149</v>
      </c>
      <c r="B46" t="s">
        <v>68</v>
      </c>
      <c r="C46" t="s">
        <v>186</v>
      </c>
      <c r="D46">
        <v>0</v>
      </c>
    </row>
    <row r="47" spans="1:6" x14ac:dyDescent="0.25">
      <c r="A47" s="1" t="s">
        <v>150</v>
      </c>
      <c r="B47" t="s">
        <v>69</v>
      </c>
      <c r="C47" t="s">
        <v>47</v>
      </c>
      <c r="D47">
        <v>1</v>
      </c>
    </row>
    <row r="48" spans="1:6" x14ac:dyDescent="0.25">
      <c r="A48" s="1" t="s">
        <v>151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167</v>
      </c>
      <c r="B50" t="s">
        <v>168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181</v>
      </c>
      <c r="B52" t="s">
        <v>180</v>
      </c>
      <c r="C52" t="s">
        <v>182</v>
      </c>
      <c r="D52">
        <v>0</v>
      </c>
      <c r="E52">
        <f>F52/F24</f>
        <v>5.0583657587548639E-2</v>
      </c>
      <c r="F52">
        <v>260</v>
      </c>
    </row>
    <row r="53" spans="1:6" x14ac:dyDescent="0.25">
      <c r="A53" s="1" t="s">
        <v>159</v>
      </c>
      <c r="B53" t="s">
        <v>161</v>
      </c>
      <c r="C53" t="s">
        <v>188</v>
      </c>
      <c r="D53">
        <v>1</v>
      </c>
    </row>
    <row r="54" spans="1:6" x14ac:dyDescent="0.25">
      <c r="A54" s="1" t="s">
        <v>160</v>
      </c>
      <c r="B54" t="s">
        <v>162</v>
      </c>
      <c r="D54">
        <v>0</v>
      </c>
    </row>
    <row r="55" spans="1:6" x14ac:dyDescent="0.25">
      <c r="A55" s="1" t="s">
        <v>195</v>
      </c>
      <c r="B55" t="s">
        <v>196</v>
      </c>
      <c r="C55" t="s">
        <v>37</v>
      </c>
      <c r="D55">
        <v>0</v>
      </c>
    </row>
    <row r="56" spans="1:6" x14ac:dyDescent="0.25">
      <c r="A56" s="1" t="s">
        <v>197</v>
      </c>
      <c r="B56" t="s">
        <v>198</v>
      </c>
      <c r="C56" t="s">
        <v>199</v>
      </c>
      <c r="D56">
        <v>0</v>
      </c>
    </row>
    <row r="57" spans="1:6" x14ac:dyDescent="0.25">
      <c r="A57" s="1" t="s">
        <v>234</v>
      </c>
      <c r="B57" t="s">
        <v>235</v>
      </c>
      <c r="C57" t="s">
        <v>236</v>
      </c>
      <c r="D57">
        <v>0</v>
      </c>
      <c r="F57" t="s">
        <v>237</v>
      </c>
    </row>
    <row r="58" spans="1:6" x14ac:dyDescent="0.25">
      <c r="A58" s="1" t="s">
        <v>42</v>
      </c>
      <c r="B58" t="s">
        <v>238</v>
      </c>
      <c r="D58">
        <v>1</v>
      </c>
      <c r="E58">
        <v>6.9399999999999996E-4</v>
      </c>
    </row>
    <row r="60" spans="1:6" x14ac:dyDescent="0.25">
      <c r="A60" s="1" t="s">
        <v>0</v>
      </c>
      <c r="B60" s="1" t="s">
        <v>119</v>
      </c>
      <c r="C60" s="1" t="s">
        <v>26</v>
      </c>
      <c r="D60" s="1" t="s">
        <v>177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183</v>
      </c>
      <c r="D61">
        <v>1</v>
      </c>
      <c r="E61">
        <f>F61/(G20*1000)</f>
        <v>8.1599999999999992E-2</v>
      </c>
      <c r="F61">
        <v>20.399999999999999</v>
      </c>
    </row>
    <row r="62" spans="1:6" x14ac:dyDescent="0.25">
      <c r="A62" s="1" t="s">
        <v>135</v>
      </c>
      <c r="B62" t="s">
        <v>136</v>
      </c>
      <c r="C62" t="s">
        <v>183</v>
      </c>
      <c r="D62">
        <v>1</v>
      </c>
    </row>
    <row r="63" spans="1:6" x14ac:dyDescent="0.25">
      <c r="A63" s="1" t="s">
        <v>137</v>
      </c>
      <c r="B63" t="s">
        <v>138</v>
      </c>
      <c r="C63" t="s">
        <v>183</v>
      </c>
      <c r="D63">
        <v>1</v>
      </c>
    </row>
    <row r="64" spans="1:6" x14ac:dyDescent="0.25">
      <c r="A64" s="1" t="s">
        <v>84</v>
      </c>
      <c r="B64" t="s">
        <v>83</v>
      </c>
      <c r="C64" t="s">
        <v>183</v>
      </c>
      <c r="D64">
        <v>1</v>
      </c>
    </row>
    <row r="65" spans="1:6" x14ac:dyDescent="0.25">
      <c r="A65" s="1" t="s">
        <v>90</v>
      </c>
      <c r="B65" t="s">
        <v>224</v>
      </c>
      <c r="C65" t="s">
        <v>183</v>
      </c>
      <c r="D65">
        <v>1</v>
      </c>
      <c r="E65">
        <f>F65/(G20*1000)</f>
        <v>0.04</v>
      </c>
      <c r="F65">
        <v>10</v>
      </c>
    </row>
    <row r="66" spans="1:6" x14ac:dyDescent="0.25">
      <c r="A66" s="1" t="s">
        <v>91</v>
      </c>
      <c r="B66" t="s">
        <v>85</v>
      </c>
      <c r="C66" t="s">
        <v>183</v>
      </c>
      <c r="D66">
        <v>1</v>
      </c>
      <c r="E66">
        <f>F66/(G20*1000)</f>
        <v>3.2000000000000001E-2</v>
      </c>
      <c r="F66">
        <v>8</v>
      </c>
    </row>
    <row r="67" spans="1:6" x14ac:dyDescent="0.25">
      <c r="A67" s="1" t="s">
        <v>92</v>
      </c>
      <c r="B67" t="s">
        <v>86</v>
      </c>
      <c r="C67" t="s">
        <v>183</v>
      </c>
      <c r="D67">
        <v>1</v>
      </c>
      <c r="E67">
        <f>F67/(G20*1000)</f>
        <v>7.1999999999999998E-3</v>
      </c>
      <c r="F67">
        <v>1.8</v>
      </c>
    </row>
    <row r="68" spans="1:6" x14ac:dyDescent="0.25">
      <c r="A68" s="1" t="s">
        <v>93</v>
      </c>
      <c r="B68" t="s">
        <v>87</v>
      </c>
      <c r="C68" t="s">
        <v>183</v>
      </c>
      <c r="D68">
        <v>1</v>
      </c>
      <c r="E68">
        <f>F68/(G20*1000)</f>
        <v>7.1999999999999994E-4</v>
      </c>
      <c r="F68">
        <v>0.18</v>
      </c>
    </row>
    <row r="69" spans="1:6" x14ac:dyDescent="0.25">
      <c r="A69" s="1" t="s">
        <v>94</v>
      </c>
      <c r="B69" t="s">
        <v>207</v>
      </c>
      <c r="C69" t="s">
        <v>183</v>
      </c>
      <c r="D69">
        <v>1</v>
      </c>
      <c r="E69">
        <f>F69/(G20*1000)</f>
        <v>4.0000000000000001E-3</v>
      </c>
      <c r="F69">
        <v>1</v>
      </c>
    </row>
    <row r="70" spans="1:6" x14ac:dyDescent="0.25">
      <c r="A70" s="1" t="s">
        <v>95</v>
      </c>
      <c r="B70" t="s">
        <v>208</v>
      </c>
      <c r="C70" t="s">
        <v>183</v>
      </c>
      <c r="D70">
        <v>1</v>
      </c>
      <c r="E70">
        <f>F70/(G20*1000)</f>
        <v>3.2000000000000002E-3</v>
      </c>
      <c r="F70">
        <v>0.8</v>
      </c>
    </row>
    <row r="71" spans="1:6" x14ac:dyDescent="0.25">
      <c r="A71" s="1" t="s">
        <v>96</v>
      </c>
      <c r="B71" t="s">
        <v>209</v>
      </c>
      <c r="C71" t="s">
        <v>183</v>
      </c>
      <c r="D71">
        <v>1</v>
      </c>
      <c r="E71">
        <f>F71/(G20*1000)</f>
        <v>2.8E-3</v>
      </c>
      <c r="F71">
        <v>0.7</v>
      </c>
    </row>
    <row r="72" spans="1:6" x14ac:dyDescent="0.25">
      <c r="A72" s="1" t="s">
        <v>97</v>
      </c>
      <c r="B72" t="s">
        <v>88</v>
      </c>
      <c r="C72" t="s">
        <v>183</v>
      </c>
      <c r="D72">
        <v>1</v>
      </c>
    </row>
    <row r="73" spans="1:6" x14ac:dyDescent="0.25">
      <c r="A73" s="1" t="s">
        <v>98</v>
      </c>
      <c r="B73" t="s">
        <v>89</v>
      </c>
      <c r="C73" t="s">
        <v>183</v>
      </c>
      <c r="D73">
        <v>1</v>
      </c>
    </row>
    <row r="74" spans="1:6" x14ac:dyDescent="0.25">
      <c r="A74" s="1" t="s">
        <v>99</v>
      </c>
      <c r="B74" t="s">
        <v>130</v>
      </c>
      <c r="C74" t="s">
        <v>183</v>
      </c>
      <c r="D74">
        <v>1</v>
      </c>
    </row>
    <row r="75" spans="1:6" x14ac:dyDescent="0.25">
      <c r="A75" s="1" t="s">
        <v>152</v>
      </c>
      <c r="B75" t="s">
        <v>153</v>
      </c>
      <c r="C75" t="s">
        <v>183</v>
      </c>
      <c r="D75">
        <v>1</v>
      </c>
      <c r="E75">
        <f>F75/(G20*1000)</f>
        <v>0.53320000000000001</v>
      </c>
      <c r="F75">
        <v>133.30000000000001</v>
      </c>
    </row>
    <row r="76" spans="1:6" x14ac:dyDescent="0.25">
      <c r="A76" s="1" t="s">
        <v>104</v>
      </c>
      <c r="B76" t="s">
        <v>225</v>
      </c>
      <c r="C76" t="s">
        <v>182</v>
      </c>
      <c r="D76">
        <v>0</v>
      </c>
      <c r="E76">
        <f>F76/F24</f>
        <v>8.7548638132295714E-2</v>
      </c>
      <c r="F76">
        <v>450</v>
      </c>
    </row>
    <row r="77" spans="1:6" x14ac:dyDescent="0.25">
      <c r="A77" s="1" t="s">
        <v>105</v>
      </c>
      <c r="B77" t="s">
        <v>100</v>
      </c>
      <c r="C77" t="s">
        <v>182</v>
      </c>
      <c r="D77">
        <v>0</v>
      </c>
      <c r="E77">
        <f>F77/F24</f>
        <v>0.16108949416342414</v>
      </c>
      <c r="F77">
        <v>828</v>
      </c>
    </row>
    <row r="78" spans="1:6" x14ac:dyDescent="0.25">
      <c r="A78" s="1" t="s">
        <v>106</v>
      </c>
      <c r="B78" t="s">
        <v>101</v>
      </c>
      <c r="C78" t="s">
        <v>182</v>
      </c>
      <c r="D78">
        <v>0</v>
      </c>
      <c r="E78">
        <f>F78/F24</f>
        <v>0.10116731517509728</v>
      </c>
      <c r="F78">
        <v>520</v>
      </c>
    </row>
    <row r="79" spans="1:6" x14ac:dyDescent="0.25">
      <c r="A79" s="1" t="s">
        <v>107</v>
      </c>
      <c r="B79" t="s">
        <v>210</v>
      </c>
      <c r="C79" t="s">
        <v>182</v>
      </c>
      <c r="D79">
        <v>0</v>
      </c>
      <c r="E79" s="4">
        <f t="shared" ref="E79" si="0">F79/F$24</f>
        <v>0.50194552529182879</v>
      </c>
      <c r="F79">
        <v>2580</v>
      </c>
    </row>
    <row r="80" spans="1:6" x14ac:dyDescent="0.25">
      <c r="A80" s="1" t="s">
        <v>108</v>
      </c>
      <c r="B80" t="s">
        <v>211</v>
      </c>
      <c r="C80" t="s">
        <v>182</v>
      </c>
      <c r="D80">
        <v>0</v>
      </c>
      <c r="E80">
        <f>F80/F24</f>
        <v>4.5525291828793772E-2</v>
      </c>
      <c r="F80">
        <v>234</v>
      </c>
    </row>
    <row r="81" spans="1:6" x14ac:dyDescent="0.25">
      <c r="A81" s="1" t="s">
        <v>109</v>
      </c>
      <c r="B81" t="s">
        <v>212</v>
      </c>
      <c r="C81" t="s">
        <v>182</v>
      </c>
      <c r="D81">
        <v>0</v>
      </c>
      <c r="E81">
        <f>F81/F24</f>
        <v>3.5019455252918289E-3</v>
      </c>
      <c r="F81">
        <v>18</v>
      </c>
    </row>
    <row r="82" spans="1:6" x14ac:dyDescent="0.25">
      <c r="A82" s="1" t="s">
        <v>110</v>
      </c>
      <c r="B82" t="s">
        <v>102</v>
      </c>
      <c r="C82" t="s">
        <v>182</v>
      </c>
      <c r="D82">
        <v>0</v>
      </c>
    </row>
    <row r="83" spans="1:6" x14ac:dyDescent="0.25">
      <c r="A83" s="1" t="s">
        <v>111</v>
      </c>
      <c r="B83" t="s">
        <v>103</v>
      </c>
      <c r="C83" t="s">
        <v>182</v>
      </c>
      <c r="D83">
        <v>0</v>
      </c>
    </row>
    <row r="84" spans="1:6" x14ac:dyDescent="0.25">
      <c r="A84" s="1" t="s">
        <v>112</v>
      </c>
      <c r="B84" t="s">
        <v>131</v>
      </c>
      <c r="C84" t="s">
        <v>182</v>
      </c>
      <c r="D84">
        <v>0</v>
      </c>
    </row>
    <row r="85" spans="1:6" x14ac:dyDescent="0.25">
      <c r="A85" s="1" t="s">
        <v>154</v>
      </c>
      <c r="B85" t="s">
        <v>155</v>
      </c>
      <c r="C85" t="s">
        <v>182</v>
      </c>
      <c r="D85">
        <v>0</v>
      </c>
      <c r="E85">
        <f>F85/F24</f>
        <v>9.9221789883268477E-2</v>
      </c>
      <c r="F85">
        <v>510</v>
      </c>
    </row>
    <row r="86" spans="1:6" x14ac:dyDescent="0.25">
      <c r="A86" s="1" t="s">
        <v>120</v>
      </c>
      <c r="B86" t="s">
        <v>113</v>
      </c>
      <c r="D86">
        <v>1</v>
      </c>
    </row>
    <row r="87" spans="1:6" x14ac:dyDescent="0.25">
      <c r="A87" s="1" t="s">
        <v>121</v>
      </c>
      <c r="B87" t="s">
        <v>226</v>
      </c>
      <c r="D87">
        <v>1</v>
      </c>
      <c r="E87">
        <v>1.14E-2</v>
      </c>
    </row>
    <row r="88" spans="1:6" x14ac:dyDescent="0.25">
      <c r="A88" s="1" t="s">
        <v>122</v>
      </c>
      <c r="B88" t="s">
        <v>114</v>
      </c>
      <c r="D88">
        <v>1</v>
      </c>
      <c r="E88">
        <v>7.0400000000000004E-2</v>
      </c>
    </row>
    <row r="89" spans="1:6" x14ac:dyDescent="0.25">
      <c r="A89" s="1" t="s">
        <v>123</v>
      </c>
      <c r="B89" t="s">
        <v>115</v>
      </c>
      <c r="D89">
        <v>1</v>
      </c>
      <c r="E89">
        <v>4.7E-2</v>
      </c>
    </row>
    <row r="90" spans="1:6" x14ac:dyDescent="0.25">
      <c r="A90" s="1" t="s">
        <v>124</v>
      </c>
      <c r="B90" t="s">
        <v>213</v>
      </c>
      <c r="D90">
        <v>1</v>
      </c>
      <c r="E90">
        <v>3.5799999999999998E-2</v>
      </c>
    </row>
    <row r="91" spans="1:6" x14ac:dyDescent="0.25">
      <c r="A91" s="1" t="s">
        <v>125</v>
      </c>
      <c r="B91" t="s">
        <v>214</v>
      </c>
      <c r="D91">
        <v>1</v>
      </c>
      <c r="E91">
        <v>1.7600000000000001E-2</v>
      </c>
    </row>
    <row r="92" spans="1:6" x14ac:dyDescent="0.25">
      <c r="A92" s="1" t="s">
        <v>126</v>
      </c>
      <c r="B92" t="s">
        <v>215</v>
      </c>
      <c r="D92">
        <v>1</v>
      </c>
      <c r="E92">
        <v>2.8E-3</v>
      </c>
    </row>
    <row r="93" spans="1:6" x14ac:dyDescent="0.25">
      <c r="A93" s="1" t="s">
        <v>127</v>
      </c>
      <c r="B93" t="s">
        <v>116</v>
      </c>
      <c r="D93">
        <v>1</v>
      </c>
    </row>
    <row r="94" spans="1:6" x14ac:dyDescent="0.25">
      <c r="A94" s="1" t="s">
        <v>128</v>
      </c>
      <c r="B94" t="s">
        <v>117</v>
      </c>
      <c r="D94">
        <v>1</v>
      </c>
    </row>
    <row r="95" spans="1:6" x14ac:dyDescent="0.25">
      <c r="A95" s="1" t="s">
        <v>129</v>
      </c>
      <c r="B95" t="s">
        <v>132</v>
      </c>
      <c r="D95">
        <v>1</v>
      </c>
    </row>
    <row r="96" spans="1:6" x14ac:dyDescent="0.25">
      <c r="A96" s="1" t="s">
        <v>156</v>
      </c>
      <c r="B96" t="s">
        <v>157</v>
      </c>
      <c r="D96">
        <v>1</v>
      </c>
      <c r="E96">
        <v>1.61E-2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177</v>
      </c>
      <c r="E98" s="1" t="s">
        <v>3</v>
      </c>
    </row>
    <row r="99" spans="1:5" x14ac:dyDescent="0.25">
      <c r="A99" s="1" t="s">
        <v>35</v>
      </c>
      <c r="B99" t="s">
        <v>36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184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665CC82-408B-4FD3-ABA1-0EF532DE3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2026-03-27T16:44:43Z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