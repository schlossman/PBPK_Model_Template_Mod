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chlosser_paul_epa_gov/Documents/mcsim-5.6.5/PBPK_Model_Template_Mod/Inputs/"/>
    </mc:Choice>
  </mc:AlternateContent>
  <xr:revisionPtr revIDLastSave="114" documentId="13_ncr:1_{C7746A5F-920D-41F0-A536-A594C5CF14B4}" xr6:coauthVersionLast="47" xr6:coauthVersionMax="47" xr10:uidLastSave="{39D21358-F334-452A-BB4D-2533D9DDD551}"/>
  <bookViews>
    <workbookView xWindow="-20820" yWindow="840" windowWidth="21600" windowHeight="12585" xr2:uid="{089E7848-11EB-427A-89EA-83825F220BA0}"/>
  </bookViews>
  <sheets>
    <sheet name="MaleRat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8" i="9" l="1"/>
  <c r="E85" i="9"/>
  <c r="E78" i="9"/>
  <c r="E77" i="9"/>
  <c r="E24" i="9"/>
  <c r="F25" i="9"/>
  <c r="E22" i="9"/>
  <c r="E28" i="9" l="1"/>
  <c r="E75" i="9"/>
  <c r="E16" i="9" l="1"/>
  <c r="E15" i="9"/>
</calcChain>
</file>

<file path=xl/sharedStrings.xml><?xml version="1.0" encoding="utf-8"?>
<sst xmlns="http://schemas.openxmlformats.org/spreadsheetml/2006/main" count="310" uniqueCount="240">
  <si>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</si>
  <si>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</si>
  <si>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</si>
  <si>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</si>
  <si>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</si>
  <si>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</si>
  <si>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</si>
  <si>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</si>
  <si>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</si>
  <si>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</si>
  <si>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</si>
  <si>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</si>
  <si>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</si>
  <si>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</si>
  <si>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</si>
  <si>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</si>
  <si>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</si>
  <si>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</si>
  <si>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</si>
  <si>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</si>
  <si>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</si>
  <si>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</si>
  <si>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</si>
  <si>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</si>
  <si>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</si>
  <si>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</si>
  <si>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</si>
  <si>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</si>
  <si>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</si>
  <si>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</si>
  <si>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</si>
  <si>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</si>
  <si>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</si>
  <si>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</si>
  <si>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</si>
  <si>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</si>
  <si>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</si>
  <si>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</si>
  <si>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</si>
  <si>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</si>
  <si>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</si>
  <si>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</si>
  <si>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</si>
  <si>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</si>
  <si>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</si>
  <si>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</si>
  <si>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</si>
  <si>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</si>
  <si>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</si>
  <si>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</si>
  <si>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</si>
  <si>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</si>
  <si>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</si>
  <si>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</si>
  <si>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</si>
  <si>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</si>
  <si>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</si>
  <si>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</si>
  <si>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</si>
  <si>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</si>
  <si>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</si>
  <si>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</si>
  <si>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</si>
  <si>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</si>
  <si>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</si>
  <si>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</si>
  <si>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</si>
  <si>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</si>
  <si>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</si>
  <si>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</si>
  <si>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</si>
  <si>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</si>
  <si>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</si>
  <si>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</si>
  <si>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</si>
  <si>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</si>
  <si>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</si>
  <si>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</si>
  <si>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</si>
  <si>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</si>
  <si>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</si>
  <si>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</si>
  <si>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</si>
  <si>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</si>
  <si>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</si>
  <si>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</si>
  <si>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</si>
  <si>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</si>
  <si>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</si>
  <si>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</si>
  <si>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</si>
  <si>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</si>
  <si>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</si>
  <si>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</si>
  <si>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</si>
  <si>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</si>
  <si>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</si>
  <si>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</si>
  <si>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</si>
  <si>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</si>
  <si>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</si>
  <si>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</si>
  <si>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</si>
  <si>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</si>
  <si>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</si>
  <si>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</si>
  <si>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</si>
  <si>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</si>
  <si>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</si>
  <si>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</si>
  <si>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</si>
  <si>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</si>
  <si>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</si>
  <si>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</si>
  <si>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</si>
  <si>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</si>
  <si>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</si>
  <si>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</si>
  <si>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</si>
  <si>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</si>
  <si>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</si>
  <si>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</si>
  <si>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</si>
  <si>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</si>
  <si>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</si>
  <si>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</si>
  <si>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</si>
  <si>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</si>
  <si>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</si>
  <si>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</si>
  <si>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</si>
  <si>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</si>
  <si>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</si>
  <si>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</si>
  <si>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</si>
  <si>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</si>
  <si>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</si>
  <si>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</si>
  <si>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</si>
  <si>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</si>
  <si>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</si>
  <si>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</si>
  <si>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</si>
  <si>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</si>
  <si>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</si>
  <si>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</si>
  <si>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</si>
  <si>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</si>
  <si>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</si>
  <si>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</si>
  <si>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</si>
  <si>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</si>
  <si>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</si>
  <si>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</si>
  <si>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</si>
  <si>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</si>
  <si>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</si>
  <si>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 xml:space="preserve">tissue compartment 2 volume fraction - 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</si>
  <si>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</si>
  <si>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</si>
  <si>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</si>
  <si>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</si>
  <si>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</si>
  <si>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</si>
  <si>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</si>
  <si>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</si>
  <si>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</si>
  <si>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</si>
  <si>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</si>
  <si>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</si>
  <si>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</si>
  <si>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</si>
  <si>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</si>
  <si>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</si>
  <si>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</si>
  <si>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</si>
  <si>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</si>
  <si>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 xml:space="preserve">tissue compartment 1:blood partition coefficient - </t>
  </si>
  <si>
    <t xml:space="preserve">tissue compartment 1 blood flow rate fraction - </t>
  </si>
  <si>
    <t xml:space="preserve">tissue compartment 1 volume fraction - 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</si>
  <si>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</si>
  <si>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</si>
  <si>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</si>
  <si>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</si>
  <si>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</si>
  <si>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</si>
  <si>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</si>
  <si>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</si>
  <si>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</si>
  <si>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</si>
  <si>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</si>
  <si>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</si>
  <si>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</si>
  <si>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</si>
  <si>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</si>
  <si>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</si>
  <si>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</si>
  <si>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</si>
  <si>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</si>
  <si>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</si>
  <si>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</si>
  <si>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</si>
  <si>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</si>
  <si>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</si>
  <si>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</si>
  <si>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</si>
  <si>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</si>
  <si>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</si>
  <si>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</si>
  <si>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PFOA</t>
  </si>
  <si>
    <t>rat</t>
  </si>
  <si>
    <t>male</t>
  </si>
  <si>
    <t>ug</t>
  </si>
  <si>
    <t>L</t>
  </si>
  <si>
    <t>h</t>
  </si>
  <si>
    <t>1</t>
  </si>
  <si>
    <t>Values from Paper</t>
  </si>
  <si>
    <t>*Paper counts flow to filtrate when computing the flow in the rest of the body compartment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</si>
  <si>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</si>
  <si>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</si>
  <si>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</si>
  <si>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</si>
  <si>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</si>
  <si>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</si>
  <si>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</si>
  <si>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K_m_bind_li</t>
  </si>
  <si>
    <t>V_max_bind_li</t>
  </si>
  <si>
    <t>k_off_li</t>
  </si>
  <si>
    <t>AS_cl_met</t>
  </si>
  <si>
    <t>Allometric Scaling Exponent: First Order Metabolic Parameters</t>
  </si>
  <si>
    <t>This should be (AS_met - 1), if representing V_max/K_m/V_tissue.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</si>
  <si>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</si>
  <si>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</si>
  <si>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</si>
  <si>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</si>
  <si>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</si>
  <si>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</si>
  <si>
    <t>Total</t>
  </si>
  <si>
    <t>plasma</t>
  </si>
  <si>
    <t>Fractions of total plasma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</si>
</sst>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  <xf numFmtId="0" fontId="0" fillId="0" borderId="0" xfId="0" applyAlignment="1">
      <alignment horizontal="right"/>
    </xf>
    <xf numFmtId="0" fontId="0" fillId="3" borderId="0" xfId="0" applyFill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G104"/>
  <sheetViews>
    <sheetView tabSelected="1" topLeftCell="A4" zoomScale="96" zoomScaleNormal="96" workbookViewId="0">
      <selection activeCell="E85" sqref="E85"/>
    </sheetView>
  </sheetViews>
  <sheetFormatPr defaultRowHeight="15" x14ac:dyDescent="0.25"/>
  <cols>
    <col min="1" max="1" width="13.7109375" style="1" bestFit="1" customWidth="1"/>
    <col min="2" max="2" width="51" bestFit="1" customWidth="1"/>
    <col min="3" max="3" width="20.42578125" bestFit="1" customWidth="1"/>
    <col min="4" max="4" width="13.140625" customWidth="1"/>
    <col min="5" max="5" width="22.28515625" bestFit="1" customWidth="1"/>
    <col min="6" max="6" width="19.28515625" bestFit="1" customWidth="1"/>
    <col min="7" max="7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186</v>
      </c>
      <c r="E1" s="1" t="s">
        <v>3</v>
      </c>
      <c r="F1" s="1" t="s">
        <v>121</v>
      </c>
    </row>
    <row r="2" spans="1:6" x14ac:dyDescent="0.25">
      <c r="A2" s="1" t="s">
        <v>4</v>
      </c>
      <c r="B2" t="s">
        <v>5</v>
      </c>
      <c r="E2" t="s">
        <v>209</v>
      </c>
      <c r="F2" t="s">
        <v>187</v>
      </c>
    </row>
    <row r="3" spans="1:6" x14ac:dyDescent="0.25">
      <c r="A3" s="1" t="s">
        <v>6</v>
      </c>
      <c r="B3" t="s">
        <v>7</v>
      </c>
      <c r="E3" t="s">
        <v>210</v>
      </c>
    </row>
    <row r="4" spans="1:6" x14ac:dyDescent="0.25">
      <c r="A4" s="1" t="s">
        <v>8</v>
      </c>
      <c r="B4" t="s">
        <v>9</v>
      </c>
      <c r="E4" t="s">
        <v>211</v>
      </c>
    </row>
    <row r="5" spans="1:6" x14ac:dyDescent="0.25">
      <c r="A5" s="1" t="s">
        <v>10</v>
      </c>
      <c r="B5" t="s">
        <v>11</v>
      </c>
      <c r="C5" t="s">
        <v>12</v>
      </c>
      <c r="E5" t="s">
        <v>212</v>
      </c>
      <c r="F5" t="s">
        <v>175</v>
      </c>
    </row>
    <row r="6" spans="1:6" x14ac:dyDescent="0.25">
      <c r="A6" s="1" t="s">
        <v>13</v>
      </c>
      <c r="B6" t="s">
        <v>14</v>
      </c>
      <c r="C6" t="s">
        <v>15</v>
      </c>
      <c r="E6" t="s">
        <v>213</v>
      </c>
      <c r="F6" t="s">
        <v>176</v>
      </c>
    </row>
    <row r="7" spans="1:6" x14ac:dyDescent="0.25">
      <c r="A7" s="1" t="s">
        <v>16</v>
      </c>
      <c r="B7" t="s">
        <v>17</v>
      </c>
      <c r="C7" t="s">
        <v>18</v>
      </c>
      <c r="E7" t="s">
        <v>214</v>
      </c>
    </row>
    <row r="8" spans="1:6" x14ac:dyDescent="0.25">
      <c r="A8" s="1" t="s">
        <v>20</v>
      </c>
      <c r="B8" t="s">
        <v>21</v>
      </c>
      <c r="C8" t="s">
        <v>19</v>
      </c>
      <c r="E8" t="s">
        <v>188</v>
      </c>
    </row>
    <row r="9" spans="1:6" x14ac:dyDescent="0.25">
      <c r="A9" s="1" t="s">
        <v>236</v>
      </c>
      <c r="B9" t="s">
        <v>23</v>
      </c>
      <c r="C9" t="s">
        <v>24</v>
      </c>
      <c r="D9" s="2">
        <v>2</v>
      </c>
      <c r="E9" s="2" t="s">
        <v>215</v>
      </c>
    </row>
    <row r="10" spans="1:6" x14ac:dyDescent="0.25">
      <c r="A10" s="1" t="s">
        <v>136</v>
      </c>
      <c r="B10" t="s">
        <v>182</v>
      </c>
      <c r="C10" t="s">
        <v>19</v>
      </c>
      <c r="D10" t="s">
        <v>188</v>
      </c>
      <c r="E10" t="s">
        <v>188</v>
      </c>
    </row>
    <row r="11" spans="1:6" x14ac:dyDescent="0.25">
      <c r="A11" s="1" t="s">
        <v>137</v>
      </c>
      <c r="B11" t="s">
        <v>183</v>
      </c>
      <c r="C11" t="s">
        <v>19</v>
      </c>
      <c r="D11" t="s">
        <v>188</v>
      </c>
      <c r="E11" t="s">
        <v>188</v>
      </c>
    </row>
    <row r="12" spans="1:6" x14ac:dyDescent="0.25">
      <c r="A12" s="1" t="s">
        <v>180</v>
      </c>
      <c r="B12" t="s">
        <v>181</v>
      </c>
      <c r="C12" t="s">
        <v>19</v>
      </c>
      <c r="D12" t="s">
        <v>188</v>
      </c>
      <c r="E12" t="s">
        <v>188</v>
      </c>
    </row>
    <row r="13" spans="1:6" x14ac:dyDescent="0.25">
      <c r="A13" s="1" t="s">
        <v>184</v>
      </c>
      <c r="B13" t="s">
        <v>185</v>
      </c>
      <c r="C13" t="s">
        <v>19</v>
      </c>
      <c r="D13" t="s">
        <v>188</v>
      </c>
      <c r="E13" t="s">
        <v>22</v>
      </c>
    </row>
    <row r="14" spans="1:6" x14ac:dyDescent="0.25">
      <c r="A14" s="1" t="s">
        <v>169</v>
      </c>
      <c r="B14" t="s">
        <v>164</v>
      </c>
      <c r="C14" t="s">
        <v>19</v>
      </c>
      <c r="D14" t="s">
        <v>22</v>
      </c>
      <c r="E14" t="s">
        <v>22</v>
      </c>
    </row>
    <row r="15" spans="1:6" x14ac:dyDescent="0.25">
      <c r="A15" s="1" t="s">
        <v>198</v>
      </c>
      <c r="B15" t="s">
        <v>199</v>
      </c>
      <c r="C15" t="s">
        <v>200</v>
      </c>
      <c r="E15">
        <f>1-SUM(E76:E85)</f>
        <v>0</v>
      </c>
      <c r="F15" t="s">
        <v>217</v>
      </c>
    </row>
    <row r="16" spans="1:6" x14ac:dyDescent="0.25">
      <c r="A16" s="1" t="s">
        <v>201</v>
      </c>
      <c r="B16" t="s">
        <v>202</v>
      </c>
      <c r="C16" t="s">
        <v>203</v>
      </c>
      <c r="E16">
        <f>SUM(E61:E75)</f>
        <v>0.84000000000000008</v>
      </c>
    </row>
    <row r="18" spans="1:7" x14ac:dyDescent="0.25">
      <c r="A18" s="1" t="s">
        <v>0</v>
      </c>
      <c r="B18" s="1" t="s">
        <v>25</v>
      </c>
      <c r="C18" s="1" t="s">
        <v>26</v>
      </c>
      <c r="D18" s="1" t="s">
        <v>186</v>
      </c>
      <c r="E18" s="1" t="s">
        <v>3</v>
      </c>
      <c r="F18" s="1" t="s">
        <v>216</v>
      </c>
    </row>
    <row r="19" spans="1:7" x14ac:dyDescent="0.25">
      <c r="A19" s="1" t="s">
        <v>71</v>
      </c>
      <c r="B19" t="s">
        <v>72</v>
      </c>
      <c r="C19" t="s">
        <v>73</v>
      </c>
      <c r="D19">
        <v>0</v>
      </c>
      <c r="E19" s="4">
        <v>414.07</v>
      </c>
    </row>
    <row r="20" spans="1:7" x14ac:dyDescent="0.25">
      <c r="A20" s="1" t="s">
        <v>27</v>
      </c>
      <c r="B20" t="s">
        <v>28</v>
      </c>
      <c r="D20">
        <v>0.75</v>
      </c>
      <c r="E20">
        <v>0.75</v>
      </c>
    </row>
    <row r="21" spans="1:7" x14ac:dyDescent="0.25">
      <c r="A21" s="1" t="s">
        <v>29</v>
      </c>
      <c r="B21" t="s">
        <v>30</v>
      </c>
      <c r="D21">
        <v>0.75</v>
      </c>
      <c r="E21">
        <v>0.75</v>
      </c>
    </row>
    <row r="22" spans="1:7" x14ac:dyDescent="0.25">
      <c r="A22" s="1" t="s">
        <v>228</v>
      </c>
      <c r="B22" t="s">
        <v>229</v>
      </c>
      <c r="D22">
        <v>-0.25</v>
      </c>
      <c r="E22">
        <f>E21-1</f>
        <v>-0.25</v>
      </c>
      <c r="F22" t="s">
        <v>230</v>
      </c>
    </row>
    <row r="23" spans="1:7" x14ac:dyDescent="0.25">
      <c r="A23" s="1" t="s">
        <v>31</v>
      </c>
      <c r="B23" t="s">
        <v>32</v>
      </c>
      <c r="D23">
        <v>-0.25</v>
      </c>
      <c r="E23">
        <v>-0.25</v>
      </c>
    </row>
    <row r="24" spans="1:7" x14ac:dyDescent="0.25">
      <c r="A24" s="1" t="s">
        <v>33</v>
      </c>
      <c r="B24" t="s">
        <v>34</v>
      </c>
      <c r="C24" t="s">
        <v>194</v>
      </c>
      <c r="D24">
        <v>0</v>
      </c>
      <c r="E24" s="5">
        <f>F25*(1-E52)</f>
        <v>7.0270200000000003</v>
      </c>
      <c r="F24" s="5">
        <v>14</v>
      </c>
      <c r="G24" s="5" t="s">
        <v>237</v>
      </c>
    </row>
    <row r="25" spans="1:7" x14ac:dyDescent="0.25">
      <c r="A25" s="1" t="s">
        <v>43</v>
      </c>
      <c r="B25" t="s">
        <v>44</v>
      </c>
      <c r="D25">
        <v>0</v>
      </c>
      <c r="F25" s="5">
        <f>F24*(1-E99)</f>
        <v>7.5600000000000005</v>
      </c>
      <c r="G25" s="5" t="s">
        <v>238</v>
      </c>
    </row>
    <row r="26" spans="1:7" x14ac:dyDescent="0.25">
      <c r="A26" s="1" t="s">
        <v>142</v>
      </c>
      <c r="B26" t="s">
        <v>45</v>
      </c>
      <c r="C26" t="s">
        <v>195</v>
      </c>
      <c r="D26">
        <v>0</v>
      </c>
      <c r="E26" s="3">
        <v>270000</v>
      </c>
    </row>
    <row r="27" spans="1:7" x14ac:dyDescent="0.25">
      <c r="A27" s="1" t="s">
        <v>143</v>
      </c>
      <c r="B27" t="s">
        <v>46</v>
      </c>
      <c r="C27" t="s">
        <v>47</v>
      </c>
      <c r="D27">
        <v>1</v>
      </c>
      <c r="E27" s="3">
        <v>67000</v>
      </c>
    </row>
    <row r="28" spans="1:7" x14ac:dyDescent="0.25">
      <c r="A28" s="1" t="s">
        <v>48</v>
      </c>
      <c r="B28" t="s">
        <v>49</v>
      </c>
      <c r="C28" t="s">
        <v>196</v>
      </c>
      <c r="D28">
        <v>0</v>
      </c>
      <c r="E28">
        <f>0.35</f>
        <v>0.35</v>
      </c>
    </row>
    <row r="29" spans="1:7" x14ac:dyDescent="0.25">
      <c r="A29" s="1" t="s">
        <v>144</v>
      </c>
      <c r="B29" t="s">
        <v>50</v>
      </c>
      <c r="C29" t="s">
        <v>196</v>
      </c>
      <c r="D29">
        <v>0</v>
      </c>
      <c r="E29">
        <v>0.1</v>
      </c>
    </row>
    <row r="30" spans="1:7" x14ac:dyDescent="0.25">
      <c r="A30" s="1" t="s">
        <v>145</v>
      </c>
      <c r="B30" t="s">
        <v>218</v>
      </c>
      <c r="C30" t="s">
        <v>37</v>
      </c>
      <c r="D30">
        <v>0</v>
      </c>
    </row>
    <row r="31" spans="1:7" x14ac:dyDescent="0.25">
      <c r="A31" s="1" t="s">
        <v>146</v>
      </c>
      <c r="B31" t="s">
        <v>51</v>
      </c>
      <c r="C31" t="s">
        <v>196</v>
      </c>
      <c r="D31">
        <v>0</v>
      </c>
      <c r="E31">
        <v>0.6</v>
      </c>
    </row>
    <row r="32" spans="1:7" x14ac:dyDescent="0.25">
      <c r="A32" s="1" t="s">
        <v>52</v>
      </c>
      <c r="B32" t="s">
        <v>219</v>
      </c>
      <c r="C32" t="s">
        <v>37</v>
      </c>
      <c r="D32">
        <v>0</v>
      </c>
    </row>
    <row r="33" spans="1:5" x14ac:dyDescent="0.25">
      <c r="A33" s="1" t="s">
        <v>53</v>
      </c>
      <c r="B33" t="s">
        <v>220</v>
      </c>
      <c r="C33" t="s">
        <v>37</v>
      </c>
      <c r="D33">
        <v>0</v>
      </c>
      <c r="E33">
        <v>31.3</v>
      </c>
    </row>
    <row r="34" spans="1:5" x14ac:dyDescent="0.25">
      <c r="A34" s="1" t="s">
        <v>54</v>
      </c>
      <c r="B34" t="s">
        <v>221</v>
      </c>
      <c r="C34" t="s">
        <v>37</v>
      </c>
      <c r="D34">
        <v>0</v>
      </c>
    </row>
    <row r="35" spans="1:5" x14ac:dyDescent="0.25">
      <c r="A35" s="1" t="s">
        <v>55</v>
      </c>
      <c r="B35" t="s">
        <v>56</v>
      </c>
      <c r="C35" t="s">
        <v>37</v>
      </c>
      <c r="D35">
        <v>0</v>
      </c>
      <c r="E35">
        <v>1E-3</v>
      </c>
    </row>
    <row r="36" spans="1:5" x14ac:dyDescent="0.25">
      <c r="A36" s="1" t="s">
        <v>170</v>
      </c>
      <c r="B36" t="s">
        <v>171</v>
      </c>
      <c r="C36" t="s">
        <v>196</v>
      </c>
      <c r="D36">
        <v>0</v>
      </c>
    </row>
    <row r="37" spans="1:5" x14ac:dyDescent="0.25">
      <c r="A37" s="1" t="s">
        <v>57</v>
      </c>
      <c r="B37" t="s">
        <v>172</v>
      </c>
      <c r="C37" t="s">
        <v>196</v>
      </c>
      <c r="D37">
        <v>0</v>
      </c>
      <c r="E37">
        <v>634.5</v>
      </c>
    </row>
    <row r="38" spans="1:5" x14ac:dyDescent="0.25">
      <c r="A38" s="1" t="s">
        <v>225</v>
      </c>
      <c r="B38" t="s">
        <v>58</v>
      </c>
      <c r="C38" t="s">
        <v>47</v>
      </c>
      <c r="D38">
        <v>1</v>
      </c>
    </row>
    <row r="39" spans="1:5" x14ac:dyDescent="0.25">
      <c r="A39" s="1" t="s">
        <v>226</v>
      </c>
      <c r="B39" t="s">
        <v>59</v>
      </c>
      <c r="C39" t="s">
        <v>60</v>
      </c>
      <c r="D39">
        <v>0</v>
      </c>
    </row>
    <row r="40" spans="1:5" x14ac:dyDescent="0.25">
      <c r="A40" s="1" t="s">
        <v>227</v>
      </c>
      <c r="B40" t="s">
        <v>61</v>
      </c>
      <c r="C40" t="s">
        <v>37</v>
      </c>
      <c r="D40">
        <v>0</v>
      </c>
    </row>
    <row r="41" spans="1:5" x14ac:dyDescent="0.25">
      <c r="A41" s="1" t="s">
        <v>147</v>
      </c>
      <c r="B41" t="s">
        <v>62</v>
      </c>
      <c r="C41" t="s">
        <v>195</v>
      </c>
      <c r="D41">
        <v>0</v>
      </c>
    </row>
    <row r="42" spans="1:5" x14ac:dyDescent="0.25">
      <c r="A42" s="1" t="s">
        <v>148</v>
      </c>
      <c r="B42" t="s">
        <v>63</v>
      </c>
      <c r="C42" t="s">
        <v>47</v>
      </c>
      <c r="D42">
        <v>1</v>
      </c>
    </row>
    <row r="43" spans="1:5" x14ac:dyDescent="0.25">
      <c r="A43" s="1" t="s">
        <v>149</v>
      </c>
      <c r="B43" t="s">
        <v>64</v>
      </c>
      <c r="C43" t="s">
        <v>65</v>
      </c>
      <c r="D43">
        <v>0</v>
      </c>
    </row>
    <row r="44" spans="1:5" x14ac:dyDescent="0.25">
      <c r="A44" s="1" t="s">
        <v>150</v>
      </c>
      <c r="B44" t="s">
        <v>66</v>
      </c>
      <c r="C44" t="s">
        <v>195</v>
      </c>
      <c r="D44">
        <v>0</v>
      </c>
    </row>
    <row r="45" spans="1:5" x14ac:dyDescent="0.25">
      <c r="A45" s="1" t="s">
        <v>151</v>
      </c>
      <c r="B45" t="s">
        <v>67</v>
      </c>
      <c r="C45" t="s">
        <v>47</v>
      </c>
      <c r="D45">
        <v>1</v>
      </c>
    </row>
    <row r="46" spans="1:5" x14ac:dyDescent="0.25">
      <c r="A46" s="1" t="s">
        <v>152</v>
      </c>
      <c r="B46" t="s">
        <v>68</v>
      </c>
      <c r="C46" t="s">
        <v>195</v>
      </c>
      <c r="D46">
        <v>0</v>
      </c>
    </row>
    <row r="47" spans="1:5" x14ac:dyDescent="0.25">
      <c r="A47" s="1" t="s">
        <v>153</v>
      </c>
      <c r="B47" t="s">
        <v>69</v>
      </c>
      <c r="C47" t="s">
        <v>47</v>
      </c>
      <c r="D47">
        <v>1</v>
      </c>
    </row>
    <row r="48" spans="1:5" x14ac:dyDescent="0.25">
      <c r="A48" s="1" t="s">
        <v>154</v>
      </c>
      <c r="B48" t="s">
        <v>70</v>
      </c>
      <c r="C48" t="s">
        <v>65</v>
      </c>
      <c r="D48">
        <v>0</v>
      </c>
    </row>
    <row r="49" spans="1:6" x14ac:dyDescent="0.25">
      <c r="A49" s="1" t="s">
        <v>38</v>
      </c>
      <c r="B49" t="s">
        <v>39</v>
      </c>
      <c r="D49">
        <v>0</v>
      </c>
    </row>
    <row r="50" spans="1:6" x14ac:dyDescent="0.25">
      <c r="A50" s="1" t="s">
        <v>173</v>
      </c>
      <c r="B50" t="s">
        <v>174</v>
      </c>
      <c r="D50">
        <v>1</v>
      </c>
    </row>
    <row r="51" spans="1:6" x14ac:dyDescent="0.25">
      <c r="A51" s="1" t="s">
        <v>40</v>
      </c>
      <c r="B51" t="s">
        <v>41</v>
      </c>
      <c r="D51">
        <v>1</v>
      </c>
    </row>
    <row r="52" spans="1:6" x14ac:dyDescent="0.25">
      <c r="A52" s="1" t="s">
        <v>190</v>
      </c>
      <c r="B52" t="s">
        <v>189</v>
      </c>
      <c r="C52" t="s">
        <v>191</v>
      </c>
      <c r="D52">
        <v>0</v>
      </c>
      <c r="E52">
        <v>7.0499999999999993E-2</v>
      </c>
    </row>
    <row r="53" spans="1:6" x14ac:dyDescent="0.25">
      <c r="A53" s="1" t="s">
        <v>165</v>
      </c>
      <c r="B53" t="s">
        <v>167</v>
      </c>
      <c r="C53" t="s">
        <v>197</v>
      </c>
      <c r="D53">
        <v>1</v>
      </c>
    </row>
    <row r="54" spans="1:6" x14ac:dyDescent="0.25">
      <c r="A54" s="1" t="s">
        <v>166</v>
      </c>
      <c r="B54" t="s">
        <v>168</v>
      </c>
      <c r="D54">
        <v>0</v>
      </c>
    </row>
    <row r="55" spans="1:6" x14ac:dyDescent="0.25">
      <c r="A55" s="1" t="s">
        <v>204</v>
      </c>
      <c r="B55" t="s">
        <v>205</v>
      </c>
      <c r="C55" t="s">
        <v>37</v>
      </c>
      <c r="D55">
        <v>0</v>
      </c>
    </row>
    <row r="56" spans="1:6" x14ac:dyDescent="0.25">
      <c r="A56" s="1" t="s">
        <v>206</v>
      </c>
      <c r="B56" t="s">
        <v>207</v>
      </c>
      <c r="C56" t="s">
        <v>208</v>
      </c>
      <c r="D56">
        <v>0</v>
      </c>
    </row>
    <row r="57" spans="1:6" x14ac:dyDescent="0.25">
      <c r="A57" s="1" t="s">
        <v>231</v>
      </c>
      <c r="B57" t="s">
        <v>232</v>
      </c>
      <c r="C57" t="s">
        <v>233</v>
      </c>
      <c r="D57">
        <v>0</v>
      </c>
      <c r="F57" t="s">
        <v>234</v>
      </c>
    </row>
    <row r="58" spans="1:6" x14ac:dyDescent="0.25">
      <c r="A58" s="1" t="s">
        <v>42</v>
      </c>
      <c r="B58" t="s">
        <v>235</v>
      </c>
      <c r="D58">
        <v>1</v>
      </c>
      <c r="E58">
        <v>6.0000000000000001E-3</v>
      </c>
    </row>
    <row r="60" spans="1:6" x14ac:dyDescent="0.25">
      <c r="A60" s="1" t="s">
        <v>0</v>
      </c>
      <c r="B60" s="1" t="s">
        <v>122</v>
      </c>
      <c r="C60" s="1" t="s">
        <v>26</v>
      </c>
      <c r="D60" s="1" t="s">
        <v>186</v>
      </c>
      <c r="E60" s="1" t="s">
        <v>3</v>
      </c>
    </row>
    <row r="61" spans="1:6" x14ac:dyDescent="0.25">
      <c r="A61" s="1" t="s">
        <v>81</v>
      </c>
      <c r="B61" t="s">
        <v>82</v>
      </c>
      <c r="C61" t="s">
        <v>192</v>
      </c>
      <c r="D61">
        <v>1</v>
      </c>
      <c r="E61">
        <v>3.1199999999999999E-2</v>
      </c>
    </row>
    <row r="62" spans="1:6" x14ac:dyDescent="0.25">
      <c r="A62" s="1" t="s">
        <v>138</v>
      </c>
      <c r="B62" t="s">
        <v>139</v>
      </c>
      <c r="C62" t="s">
        <v>192</v>
      </c>
      <c r="D62">
        <v>1</v>
      </c>
    </row>
    <row r="63" spans="1:6" x14ac:dyDescent="0.25">
      <c r="A63" s="1" t="s">
        <v>140</v>
      </c>
      <c r="B63" t="s">
        <v>141</v>
      </c>
      <c r="C63" t="s">
        <v>192</v>
      </c>
      <c r="D63">
        <v>1</v>
      </c>
    </row>
    <row r="64" spans="1:6" x14ac:dyDescent="0.25">
      <c r="A64" s="1" t="s">
        <v>84</v>
      </c>
      <c r="B64" t="s">
        <v>83</v>
      </c>
      <c r="C64" t="s">
        <v>192</v>
      </c>
      <c r="D64">
        <v>1</v>
      </c>
    </row>
    <row r="65" spans="1:7" x14ac:dyDescent="0.25">
      <c r="A65" s="1" t="s">
        <v>91</v>
      </c>
      <c r="B65" t="s">
        <v>222</v>
      </c>
      <c r="C65" t="s">
        <v>192</v>
      </c>
      <c r="D65">
        <v>1</v>
      </c>
    </row>
    <row r="66" spans="1:7" x14ac:dyDescent="0.25">
      <c r="A66" s="1" t="s">
        <v>92</v>
      </c>
      <c r="B66" t="s">
        <v>85</v>
      </c>
      <c r="C66" t="s">
        <v>192</v>
      </c>
      <c r="D66">
        <v>1</v>
      </c>
      <c r="E66">
        <v>3.5000000000000003E-2</v>
      </c>
    </row>
    <row r="67" spans="1:7" x14ac:dyDescent="0.25">
      <c r="A67" s="1" t="s">
        <v>93</v>
      </c>
      <c r="B67" t="s">
        <v>86</v>
      </c>
      <c r="C67" t="s">
        <v>192</v>
      </c>
      <c r="D67">
        <v>1</v>
      </c>
      <c r="E67">
        <v>8.3999999999999995E-3</v>
      </c>
    </row>
    <row r="68" spans="1:7" x14ac:dyDescent="0.25">
      <c r="A68" s="1" t="s">
        <v>94</v>
      </c>
      <c r="B68" t="s">
        <v>87</v>
      </c>
      <c r="C68" t="s">
        <v>192</v>
      </c>
      <c r="D68">
        <v>1</v>
      </c>
      <c r="E68">
        <v>8.4000000000000003E-4</v>
      </c>
    </row>
    <row r="69" spans="1:7" x14ac:dyDescent="0.25">
      <c r="A69" s="1" t="s">
        <v>95</v>
      </c>
      <c r="B69" t="s">
        <v>179</v>
      </c>
      <c r="C69" t="s">
        <v>192</v>
      </c>
      <c r="D69">
        <v>1</v>
      </c>
    </row>
    <row r="70" spans="1:7" x14ac:dyDescent="0.25">
      <c r="A70" s="1" t="s">
        <v>96</v>
      </c>
      <c r="B70" t="s">
        <v>157</v>
      </c>
      <c r="C70" t="s">
        <v>192</v>
      </c>
      <c r="D70">
        <v>1</v>
      </c>
    </row>
    <row r="71" spans="1:7" x14ac:dyDescent="0.25">
      <c r="A71" s="1" t="s">
        <v>97</v>
      </c>
      <c r="B71" t="s">
        <v>88</v>
      </c>
      <c r="C71" t="s">
        <v>192</v>
      </c>
      <c r="D71">
        <v>1</v>
      </c>
    </row>
    <row r="72" spans="1:7" x14ac:dyDescent="0.25">
      <c r="A72" s="1" t="s">
        <v>98</v>
      </c>
      <c r="B72" t="s">
        <v>89</v>
      </c>
      <c r="C72" t="s">
        <v>192</v>
      </c>
      <c r="D72">
        <v>1</v>
      </c>
    </row>
    <row r="73" spans="1:7" x14ac:dyDescent="0.25">
      <c r="A73" s="1" t="s">
        <v>99</v>
      </c>
      <c r="B73" t="s">
        <v>90</v>
      </c>
      <c r="C73" t="s">
        <v>192</v>
      </c>
      <c r="D73">
        <v>1</v>
      </c>
    </row>
    <row r="74" spans="1:7" x14ac:dyDescent="0.25">
      <c r="A74" s="1" t="s">
        <v>100</v>
      </c>
      <c r="B74" t="s">
        <v>133</v>
      </c>
      <c r="C74" t="s">
        <v>192</v>
      </c>
      <c r="D74">
        <v>1</v>
      </c>
    </row>
    <row r="75" spans="1:7" x14ac:dyDescent="0.25">
      <c r="A75" s="1" t="s">
        <v>155</v>
      </c>
      <c r="B75" t="s">
        <v>156</v>
      </c>
      <c r="C75" t="s">
        <v>192</v>
      </c>
      <c r="D75">
        <v>1</v>
      </c>
      <c r="E75">
        <f>0.84-E61-E66-E67-E68</f>
        <v>0.76456000000000002</v>
      </c>
    </row>
    <row r="76" spans="1:7" x14ac:dyDescent="0.25">
      <c r="A76" s="1" t="s">
        <v>106</v>
      </c>
      <c r="B76" t="s">
        <v>223</v>
      </c>
      <c r="C76" t="s">
        <v>191</v>
      </c>
      <c r="D76">
        <v>0</v>
      </c>
    </row>
    <row r="77" spans="1:7" x14ac:dyDescent="0.25">
      <c r="A77" s="1" t="s">
        <v>107</v>
      </c>
      <c r="B77" t="s">
        <v>101</v>
      </c>
      <c r="C77" t="s">
        <v>191</v>
      </c>
      <c r="D77">
        <v>0</v>
      </c>
      <c r="E77" s="5">
        <f>F77/(1-E$52)</f>
        <v>0.19688004303388917</v>
      </c>
      <c r="F77" s="5">
        <v>0.183</v>
      </c>
      <c r="G77" s="5" t="s">
        <v>239</v>
      </c>
    </row>
    <row r="78" spans="1:7" x14ac:dyDescent="0.25">
      <c r="A78" s="1" t="s">
        <v>108</v>
      </c>
      <c r="B78" t="s">
        <v>102</v>
      </c>
      <c r="C78" t="s">
        <v>191</v>
      </c>
      <c r="D78">
        <v>0</v>
      </c>
      <c r="E78" s="5">
        <f>F78/(1-E$52)</f>
        <v>0.15169445938676707</v>
      </c>
      <c r="F78" s="5">
        <v>0.14099999999999999</v>
      </c>
      <c r="G78" s="5">
        <f>F78*F25-E78*E24</f>
        <v>0</v>
      </c>
    </row>
    <row r="79" spans="1:7" x14ac:dyDescent="0.25">
      <c r="A79" s="1" t="s">
        <v>109</v>
      </c>
      <c r="B79" t="s">
        <v>178</v>
      </c>
      <c r="C79" t="s">
        <v>191</v>
      </c>
      <c r="D79">
        <v>0</v>
      </c>
    </row>
    <row r="80" spans="1:7" x14ac:dyDescent="0.25">
      <c r="A80" s="1" t="s">
        <v>110</v>
      </c>
      <c r="B80" t="s">
        <v>160</v>
      </c>
      <c r="C80" t="s">
        <v>191</v>
      </c>
      <c r="D80">
        <v>0</v>
      </c>
    </row>
    <row r="81" spans="1:5" x14ac:dyDescent="0.25">
      <c r="A81" s="1" t="s">
        <v>111</v>
      </c>
      <c r="B81" t="s">
        <v>103</v>
      </c>
      <c r="C81" t="s">
        <v>191</v>
      </c>
      <c r="D81">
        <v>0</v>
      </c>
    </row>
    <row r="82" spans="1:5" x14ac:dyDescent="0.25">
      <c r="A82" s="1" t="s">
        <v>112</v>
      </c>
      <c r="B82" t="s">
        <v>104</v>
      </c>
      <c r="C82" t="s">
        <v>191</v>
      </c>
      <c r="D82">
        <v>0</v>
      </c>
    </row>
    <row r="83" spans="1:5" x14ac:dyDescent="0.25">
      <c r="A83" s="1" t="s">
        <v>113</v>
      </c>
      <c r="B83" t="s">
        <v>105</v>
      </c>
      <c r="C83" t="s">
        <v>191</v>
      </c>
      <c r="D83">
        <v>0</v>
      </c>
    </row>
    <row r="84" spans="1:5" x14ac:dyDescent="0.25">
      <c r="A84" s="1" t="s">
        <v>114</v>
      </c>
      <c r="B84" t="s">
        <v>134</v>
      </c>
      <c r="C84" t="s">
        <v>191</v>
      </c>
      <c r="D84">
        <v>0</v>
      </c>
    </row>
    <row r="85" spans="1:5" x14ac:dyDescent="0.25">
      <c r="A85" s="1" t="s">
        <v>158</v>
      </c>
      <c r="B85" t="s">
        <v>159</v>
      </c>
      <c r="C85" t="s">
        <v>191</v>
      </c>
      <c r="D85">
        <v>0</v>
      </c>
      <c r="E85" s="5">
        <f>1-E77-E78</f>
        <v>0.65142549757934376</v>
      </c>
    </row>
    <row r="86" spans="1:5" x14ac:dyDescent="0.25">
      <c r="A86" s="1" t="s">
        <v>123</v>
      </c>
      <c r="B86" t="s">
        <v>115</v>
      </c>
      <c r="D86">
        <v>1</v>
      </c>
    </row>
    <row r="87" spans="1:5" x14ac:dyDescent="0.25">
      <c r="A87" s="1" t="s">
        <v>124</v>
      </c>
      <c r="B87" t="s">
        <v>224</v>
      </c>
      <c r="D87">
        <v>1</v>
      </c>
    </row>
    <row r="88" spans="1:5" x14ac:dyDescent="0.25">
      <c r="A88" s="1" t="s">
        <v>125</v>
      </c>
      <c r="B88" t="s">
        <v>116</v>
      </c>
      <c r="D88">
        <v>1</v>
      </c>
      <c r="E88">
        <v>2.2000000000000002</v>
      </c>
    </row>
    <row r="89" spans="1:5" x14ac:dyDescent="0.25">
      <c r="A89" s="1" t="s">
        <v>126</v>
      </c>
      <c r="B89" t="s">
        <v>117</v>
      </c>
      <c r="D89">
        <v>1</v>
      </c>
      <c r="E89">
        <v>1.05</v>
      </c>
    </row>
    <row r="90" spans="1:5" x14ac:dyDescent="0.25">
      <c r="A90" s="1" t="s">
        <v>127</v>
      </c>
      <c r="B90" t="s">
        <v>177</v>
      </c>
      <c r="D90">
        <v>1</v>
      </c>
    </row>
    <row r="91" spans="1:5" x14ac:dyDescent="0.25">
      <c r="A91" s="1" t="s">
        <v>128</v>
      </c>
      <c r="B91" t="s">
        <v>163</v>
      </c>
      <c r="D91">
        <v>1</v>
      </c>
    </row>
    <row r="92" spans="1:5" x14ac:dyDescent="0.25">
      <c r="A92" s="1" t="s">
        <v>129</v>
      </c>
      <c r="B92" t="s">
        <v>118</v>
      </c>
      <c r="D92">
        <v>1</v>
      </c>
    </row>
    <row r="93" spans="1:5" x14ac:dyDescent="0.25">
      <c r="A93" s="1" t="s">
        <v>130</v>
      </c>
      <c r="B93" t="s">
        <v>119</v>
      </c>
      <c r="D93">
        <v>1</v>
      </c>
    </row>
    <row r="94" spans="1:5" x14ac:dyDescent="0.25">
      <c r="A94" s="1" t="s">
        <v>131</v>
      </c>
      <c r="B94" t="s">
        <v>120</v>
      </c>
      <c r="D94">
        <v>1</v>
      </c>
    </row>
    <row r="95" spans="1:5" x14ac:dyDescent="0.25">
      <c r="A95" s="1" t="s">
        <v>132</v>
      </c>
      <c r="B95" t="s">
        <v>135</v>
      </c>
      <c r="D95">
        <v>1</v>
      </c>
    </row>
    <row r="96" spans="1:5" x14ac:dyDescent="0.25">
      <c r="A96" s="1" t="s">
        <v>161</v>
      </c>
      <c r="B96" t="s">
        <v>162</v>
      </c>
      <c r="D96">
        <v>1</v>
      </c>
      <c r="E96">
        <v>0.11</v>
      </c>
    </row>
    <row r="98" spans="1:5" x14ac:dyDescent="0.25">
      <c r="A98" s="1" t="s">
        <v>0</v>
      </c>
      <c r="B98" s="1" t="s">
        <v>25</v>
      </c>
      <c r="C98" s="1" t="s">
        <v>26</v>
      </c>
      <c r="D98" s="1" t="s">
        <v>186</v>
      </c>
      <c r="E98" s="1" t="s">
        <v>3</v>
      </c>
    </row>
    <row r="99" spans="1:5" x14ac:dyDescent="0.25">
      <c r="A99" s="1" t="s">
        <v>35</v>
      </c>
      <c r="B99" t="s">
        <v>36</v>
      </c>
      <c r="E99">
        <v>0.46</v>
      </c>
    </row>
    <row r="101" spans="1:5" x14ac:dyDescent="0.25">
      <c r="A101" s="1" t="s">
        <v>0</v>
      </c>
      <c r="B101" s="1" t="s">
        <v>74</v>
      </c>
      <c r="C101" s="1" t="s">
        <v>3</v>
      </c>
      <c r="D101" s="1"/>
      <c r="E101" s="1" t="s">
        <v>193</v>
      </c>
    </row>
    <row r="102" spans="1:5" x14ac:dyDescent="0.25">
      <c r="A102" s="1" t="s">
        <v>75</v>
      </c>
      <c r="B102" t="s">
        <v>76</v>
      </c>
    </row>
    <row r="103" spans="1:5" x14ac:dyDescent="0.25">
      <c r="A103" s="1" t="s">
        <v>77</v>
      </c>
      <c r="B103" t="s">
        <v>78</v>
      </c>
    </row>
    <row r="104" spans="1:5" x14ac:dyDescent="0.25">
      <c r="A104" s="1" t="s">
        <v>79</v>
      </c>
      <c r="B104" t="s">
        <v>80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  <ds:schemaRef ds:uri="2ba80736-48fa-4d73-aaff-bacaeeed013a"/>
  </ds:schemaRefs>
</ds:datastoreItem>
</file>

<file path=customXml/itemProps4.xml><?xml version="1.0" encoding="utf-8"?>
<ds:datastoreItem xmlns:ds="http://schemas.openxmlformats.org/officeDocument/2006/customXml" ds:itemID="{76DF7049-5D71-4C8A-9827-79FC4B5740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2ba80736-48fa-4d73-aaff-bacaeeed013a"/>
    <ds:schemaRef ds:uri="41d9f072-86bf-4c63-b117-debf50ff4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Schlosser, Paul</cp:lastModifiedBy>
  <dcterms:created xsi:type="dcterms:W3CDTF">2020-10-14T17:32:53Z</dcterms:created>
  <dcterms:modified xsi:type="dcterms:W3CDTF">2026-03-30T16:29:33Z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MediaServiceImageTags">
    <vt:lpwstr/>
  </property>
  <property fmtid="{D5CDD505-2E9C-101B-9397-08002B2CF9AE}" pid="7" name="EPA Subject">
    <vt:lpwstr/>
  </property>
  <property fmtid="{D5CDD505-2E9C-101B-9397-08002B2CF9AE}" pid="8" name="EPA_x0020_Subject">
    <vt:lpwstr/>
  </property>
</Properties>
</file>